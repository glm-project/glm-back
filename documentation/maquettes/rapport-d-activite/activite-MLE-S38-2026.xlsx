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nthèse" state="visible" r:id="rId4"/>
    <sheet sheetId="2" name="Pointages" state="visible" r:id="rId5"/>
  </sheets>
  <calcPr calcId="171027"/>
</workbook>
</file>

<file path=xl/sharedStrings.xml><?xml version="1.0" encoding="utf-8"?>
<sst xmlns="http://schemas.openxmlformats.org/spreadsheetml/2006/main" count="249" uniqueCount="55">
  <si>
    <t>Rapport d'activité</t>
  </si>
  <si>
    <t>Opérateur</t>
  </si>
  <si>
    <t>Martin Lefèvre (MLE)</t>
  </si>
  <si>
    <t>Période</t>
  </si>
  <si>
    <t>Semaine 38 · du 14 au 20 septembre 2026</t>
  </si>
  <si>
    <t>Généré le</t>
  </si>
  <si>
    <t>Temps pointé (h)</t>
  </si>
  <si>
    <t>Jours avec pointage</t>
  </si>
  <si>
    <t>Dont non-conformité (h)</t>
  </si>
  <si>
    <t>Éléments</t>
  </si>
  <si>
    <t>Date</t>
  </si>
  <si>
    <t>Jour</t>
  </si>
  <si>
    <t>Dont NC (h)</t>
  </si>
  <si>
    <t>Mention</t>
  </si>
  <si>
    <t>lun.</t>
  </si>
  <si>
    <t/>
  </si>
  <si>
    <t>mar.</t>
  </si>
  <si>
    <t>mer.</t>
  </si>
  <si>
    <t>jeu.</t>
  </si>
  <si>
    <t>ven.</t>
  </si>
  <si>
    <t>fin automatique</t>
  </si>
  <si>
    <t>sam.</t>
  </si>
  <si>
    <t>dim.</t>
  </si>
  <si>
    <t>Total</t>
  </si>
  <si>
    <t>Référence</t>
  </si>
  <si>
    <t>Élément</t>
  </si>
  <si>
    <t>Catégorie</t>
  </si>
  <si>
    <t>Temps (h)</t>
  </si>
  <si>
    <t>OF-2026-000192</t>
  </si>
  <si>
    <t>Support moteur SM-12</t>
  </si>
  <si>
    <t>OF</t>
  </si>
  <si>
    <t>OF-2026-000201</t>
  </si>
  <si>
    <t>Carter inox 3 mm</t>
  </si>
  <si>
    <t>SAV-2026-0031</t>
  </si>
  <si>
    <t>Reprise garde-corps</t>
  </si>
  <si>
    <t>SAV</t>
  </si>
  <si>
    <t>Nature de travail</t>
  </si>
  <si>
    <t>Soudage</t>
  </si>
  <si>
    <t>Pliage</t>
  </si>
  <si>
    <t>Montage</t>
  </si>
  <si>
    <t>Contrôle</t>
  </si>
  <si>
    <t>Le temps pointé mesure le temps passé sur les éléments, pas la présence.</t>
  </si>
  <si>
    <t>Début</t>
  </si>
  <si>
    <t>Fin</t>
  </si>
  <si>
    <t>Durée (h)</t>
  </si>
  <si>
    <t>Poste</t>
  </si>
  <si>
    <t>Nature</t>
  </si>
  <si>
    <t>Activité</t>
  </si>
  <si>
    <t>Soudure TIG 2</t>
  </si>
  <si>
    <t>Travail</t>
  </si>
  <si>
    <t>Non-conformité</t>
  </si>
  <si>
    <t>Plieuse P1</t>
  </si>
  <si>
    <t>Établi montage A</t>
  </si>
  <si>
    <t>Contrôle final</t>
  </si>
  <si>
    <t>en même temps qu'un autre poste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</si>
</sst>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 hh:mm"/>
    <numFmt numFmtId="165" formatCode="dd/mm/yyyy"/>
    <numFmt numFmtId="166" formatCode="0.00;-0.00;&quot;&quot;"/>
    <numFmt numFmtId="167" formatCode="hh:mm"/>
  </numFmts>
  <fonts count="5" x14ac:knownFonts="1">
    <font>
      <color theme="1"/>
      <family val="2"/>
      <scheme val="minor"/>
      <sz val="11"/>
      <name val="Calibri"/>
    </font>
    <font>
      <b/>
      <sz val="16"/>
    </font>
    <font>
      <color rgb="FF555555"/>
    </font>
    <font>
      <b/>
    </font>
    <font>
      <i/>
      <color rgb="FF55555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 applyAlignment="1">
      <alignment horizontal="left"/>
    </xf>
    <xf numFmtId="2" fontId="3" fillId="0" borderId="0" xfId="0" applyNumberFormat="1" applyFont="1"/>
    <xf numFmtId="165" fontId="0" fillId="0" borderId="0" xfId="0" applyNumberFormat="1"/>
    <xf numFmtId="166" fontId="0" fillId="0" borderId="0" xfId="0" applyNumberFormat="1"/>
    <xf numFmtId="0" fontId="4" fillId="0" borderId="0" xfId="0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Jours" displayName="Jours" ref="A9:E17" totalsRowCount="1" headerRowCount="1">
  <autoFilter ref="A9:E16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Date" totalsRowLabel="Total"/>
    <tableColumn id="2" name="Jour" totalsRowFunction="none"/>
    <tableColumn id="3" name="Temps pointé (h)" totalsRowFunction="sum"/>
    <tableColumn id="4" name="Dont NC (h)" totalsRowFunction="sum"/>
    <tableColumn id="5" name="Mention" totalsRowFunction="none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Elements" displayName="Elements" ref="A19:E23" totalsRowCount="1" headerRowCount="1">
  <autoFilter ref="A19:E22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Référence" totalsRowLabel="Total"/>
    <tableColumn id="2" name="Élément" totalsRowFunction="none"/>
    <tableColumn id="3" name="Catégorie" totalsRowFunction="none"/>
    <tableColumn id="4" name="Temps (h)" totalsRowFunction="sum"/>
    <tableColumn id="5" name="Dont NC (h)" totalsRowFunction="sum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Natures" displayName="Natures" ref="A25:B30" totalsRowCount="1" headerRowCount="1">
  <autoFilter ref="A25:B29">
    <filterColumn colId="0" hiddenButton="1"/>
    <filterColumn colId="1" hiddenButton="1"/>
  </autoFilter>
  <tableColumns count="2">
    <tableColumn id="1" name="Nature de travail" totalsRowLabel="Total"/>
    <tableColumn id="2" name="Temps (h)" totalsRowFunction="sum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Pointages" displayName="Pointages" ref="A1:L24" totalsRowShown="1" headerRowCount="1">
  <autoFilter ref="A1:L2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Date" totalsRowLabel="Total"/>
    <tableColumn id="2" name="Jour" totalsRowFunction="none"/>
    <tableColumn id="3" name="Début" totalsRowFunction="none"/>
    <tableColumn id="4" name="Fin" totalsRowFunction="none"/>
    <tableColumn id="5" name="Durée (h)" totalsRowFunction="none"/>
    <tableColumn id="6" name="Référence" totalsRowFunction="none"/>
    <tableColumn id="7" name="Élément" totalsRowFunction="none"/>
    <tableColumn id="8" name="Catégorie" totalsRowFunction="none"/>
    <tableColumn id="9" name="Poste" totalsRowFunction="none"/>
    <tableColumn id="10" name="Nature" totalsRowFunction="none"/>
    <tableColumn id="11" name="Activité" totalsRowFunction="none"/>
    <tableColumn id="12" name="Mention" totalsRowFunction="non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24" customWidth="1"/>
    <col min="2" max="2" width="26" customWidth="1"/>
    <col min="3" max="3" width="18" customWidth="1"/>
    <col min="4" max="4" width="16" customWidth="1"/>
    <col min="5" max="5" width="18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s="4">
        <v>46307.40416666667</v>
      </c>
    </row>
    <row r="6" spans="1:4" x14ac:dyDescent="0.25">
      <c r="A6" s="2" t="s">
        <v>6</v>
      </c>
      <c r="B6" s="5">
        <v>47.75</v>
      </c>
      <c r="C6" s="2" t="s">
        <v>7</v>
      </c>
      <c r="D6" s="3">
        <v>6</v>
      </c>
    </row>
    <row r="7" spans="1:4" x14ac:dyDescent="0.25">
      <c r="A7" s="2" t="s">
        <v>8</v>
      </c>
      <c r="B7" s="5">
        <v>2.6666666666666665</v>
      </c>
      <c r="C7" s="2" t="s">
        <v>9</v>
      </c>
      <c r="D7" s="3">
        <v>3</v>
      </c>
    </row>
    <row r="9" spans="1:5" x14ac:dyDescent="0.25">
      <c r="A9" t="s">
        <v>10</v>
      </c>
      <c r="B9" t="s">
        <v>11</v>
      </c>
      <c r="C9" t="s">
        <v>6</v>
      </c>
      <c r="D9" t="s">
        <v>12</v>
      </c>
      <c r="E9" t="s">
        <v>13</v>
      </c>
    </row>
    <row r="10" spans="1:5" x14ac:dyDescent="0.25">
      <c r="A10" s="6">
        <v>46279</v>
      </c>
      <c r="B10" t="s">
        <v>14</v>
      </c>
      <c r="C10" s="7">
        <v>8.25</v>
      </c>
      <c r="D10" s="7">
        <v>1.25</v>
      </c>
      <c r="E10" t="s">
        <v>15</v>
      </c>
    </row>
    <row r="11" spans="1:5" x14ac:dyDescent="0.25">
      <c r="A11" s="6">
        <v>46280</v>
      </c>
      <c r="B11" t="s">
        <v>16</v>
      </c>
      <c r="C11" s="7">
        <v>7.416666666666667</v>
      </c>
      <c r="D11" s="7">
        <v>1.4166666666666667</v>
      </c>
      <c r="E11" t="s">
        <v>15</v>
      </c>
    </row>
    <row r="12" spans="1:5" x14ac:dyDescent="0.25">
      <c r="A12" s="6">
        <v>46281</v>
      </c>
      <c r="B12" t="s">
        <v>17</v>
      </c>
      <c r="C12" s="7">
        <v>7.833333333333333</v>
      </c>
      <c r="D12" s="7">
        <v>0</v>
      </c>
      <c r="E12" t="s">
        <v>15</v>
      </c>
    </row>
    <row r="13" spans="1:5" x14ac:dyDescent="0.25">
      <c r="A13" s="6">
        <v>46282</v>
      </c>
      <c r="B13" t="s">
        <v>18</v>
      </c>
      <c r="C13" s="7">
        <v>9.25</v>
      </c>
      <c r="D13" s="7">
        <v>0</v>
      </c>
      <c r="E13" t="s">
        <v>15</v>
      </c>
    </row>
    <row r="14" spans="1:5" x14ac:dyDescent="0.25">
      <c r="A14" s="6">
        <v>46283</v>
      </c>
      <c r="B14" t="s">
        <v>19</v>
      </c>
      <c r="C14" s="7">
        <v>11.5</v>
      </c>
      <c r="D14" s="7">
        <v>0</v>
      </c>
      <c r="E14" t="s">
        <v>20</v>
      </c>
    </row>
    <row r="15" spans="1:5" x14ac:dyDescent="0.25">
      <c r="A15" s="6">
        <v>46284</v>
      </c>
      <c r="B15" t="s">
        <v>21</v>
      </c>
      <c r="C15" s="7">
        <v>3.5</v>
      </c>
      <c r="D15" s="7">
        <v>0</v>
      </c>
      <c r="E15" t="s">
        <v>15</v>
      </c>
    </row>
    <row r="16" spans="1:5" x14ac:dyDescent="0.25">
      <c r="A16" s="6">
        <v>46285</v>
      </c>
      <c r="B16" t="s">
        <v>22</v>
      </c>
      <c r="C16" s="7">
        <v>0</v>
      </c>
      <c r="D16" s="7">
        <v>0</v>
      </c>
      <c r="E16" t="s">
        <v>15</v>
      </c>
    </row>
    <row r="17" spans="1:5" x14ac:dyDescent="0.25">
      <c r="A17" s="6" t="s">
        <v>23</v>
      </c>
      <c r="C17" s="7">
        <f>SUBTOTAL(109,Jours[Temps pointé (h)])</f>
      </c>
      <c r="D17" s="7">
        <f>SUBTOTAL(109,Jours[Dont NC (h)])</f>
      </c>
    </row>
    <row r="19" spans="1:5" x14ac:dyDescent="0.25">
      <c r="A19" t="s">
        <v>24</v>
      </c>
      <c r="B19" t="s">
        <v>25</v>
      </c>
      <c r="C19" t="s">
        <v>26</v>
      </c>
      <c r="D19" t="s">
        <v>27</v>
      </c>
      <c r="E19" t="s">
        <v>12</v>
      </c>
    </row>
    <row r="20" spans="1:5" x14ac:dyDescent="0.25">
      <c r="A20" t="s">
        <v>28</v>
      </c>
      <c r="B20" t="s">
        <v>29</v>
      </c>
      <c r="C20" t="s">
        <v>30</v>
      </c>
      <c r="D20" s="7">
        <v>24.833333333333332</v>
      </c>
      <c r="E20" s="7">
        <v>0</v>
      </c>
    </row>
    <row r="21" spans="1:5" x14ac:dyDescent="0.25">
      <c r="A21" t="s">
        <v>31</v>
      </c>
      <c r="B21" t="s">
        <v>32</v>
      </c>
      <c r="C21" t="s">
        <v>30</v>
      </c>
      <c r="D21" s="7">
        <v>15.166666666666666</v>
      </c>
      <c r="E21" s="7">
        <v>2.6666666666666665</v>
      </c>
    </row>
    <row r="22" spans="1:5" x14ac:dyDescent="0.25">
      <c r="A22" t="s">
        <v>33</v>
      </c>
      <c r="B22" t="s">
        <v>34</v>
      </c>
      <c r="C22" t="s">
        <v>35</v>
      </c>
      <c r="D22" s="7">
        <v>7.75</v>
      </c>
      <c r="E22" s="7">
        <v>0</v>
      </c>
    </row>
    <row r="23" spans="1:5" x14ac:dyDescent="0.25">
      <c r="A23" t="s">
        <v>23</v>
      </c>
      <c r="D23" s="7">
        <f>SUBTOTAL(109,Elements[Temps (h)])</f>
      </c>
      <c r="E23" s="7">
        <f>SUBTOTAL(109,Elements[Dont NC (h)])</f>
      </c>
    </row>
    <row r="25" spans="1:2" x14ac:dyDescent="0.25">
      <c r="A25" t="s">
        <v>36</v>
      </c>
      <c r="B25" t="s">
        <v>27</v>
      </c>
    </row>
    <row r="26" spans="1:2" x14ac:dyDescent="0.25">
      <c r="A26" t="s">
        <v>37</v>
      </c>
      <c r="B26" s="7">
        <v>21.083333333333332</v>
      </c>
    </row>
    <row r="27" spans="1:2" x14ac:dyDescent="0.25">
      <c r="A27" t="s">
        <v>38</v>
      </c>
      <c r="B27" s="7">
        <v>12</v>
      </c>
    </row>
    <row r="28" spans="1:2" x14ac:dyDescent="0.25">
      <c r="A28" t="s">
        <v>39</v>
      </c>
      <c r="B28" s="7">
        <v>9</v>
      </c>
    </row>
    <row r="29" spans="1:2" x14ac:dyDescent="0.25">
      <c r="A29" t="s">
        <v>40</v>
      </c>
      <c r="B29" s="7">
        <v>5.666666666666667</v>
      </c>
    </row>
    <row r="30" spans="1:2" x14ac:dyDescent="0.25">
      <c r="A30" t="s">
        <v>23</v>
      </c>
      <c r="B30" s="7">
        <f>SUBTOTAL(109,Natures[Temps (h)])</f>
      </c>
    </row>
    <row r="32" spans="1:1" x14ac:dyDescent="0.25">
      <c r="A32" s="8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7" customWidth="1"/>
    <col min="3" max="4" width="8" customWidth="1"/>
    <col min="5" max="5" width="10" customWidth="1"/>
    <col min="6" max="6" width="17" customWidth="1"/>
    <col min="7" max="7" width="24" customWidth="1"/>
    <col min="8" max="8" width="11" customWidth="1"/>
    <col min="9" max="9" width="18" customWidth="1"/>
    <col min="10" max="10" width="12" customWidth="1"/>
    <col min="11" max="11" width="16" customWidth="1"/>
    <col min="12" max="12" width="30" customWidth="1"/>
  </cols>
  <sheetData>
    <row r="1" spans="1:12" x14ac:dyDescent="0.25">
      <c r="A1" t="s">
        <v>10</v>
      </c>
      <c r="B1" t="s">
        <v>11</v>
      </c>
      <c r="C1" t="s">
        <v>42</v>
      </c>
      <c r="D1" t="s">
        <v>43</v>
      </c>
      <c r="E1" t="s">
        <v>44</v>
      </c>
      <c r="F1" t="s">
        <v>24</v>
      </c>
      <c r="G1" t="s">
        <v>25</v>
      </c>
      <c r="H1" t="s">
        <v>26</v>
      </c>
      <c r="I1" t="s">
        <v>45</v>
      </c>
      <c r="J1" t="s">
        <v>46</v>
      </c>
      <c r="K1" t="s">
        <v>47</v>
      </c>
      <c r="L1" t="s">
        <v>13</v>
      </c>
    </row>
    <row r="2" spans="1:12" x14ac:dyDescent="0.25">
      <c r="A2" s="6">
        <v>46279</v>
      </c>
      <c r="B2" t="s">
        <v>14</v>
      </c>
      <c r="C2" s="9">
        <v>0.3125</v>
      </c>
      <c r="D2" s="9">
        <v>0.3541666666678793</v>
      </c>
      <c r="E2" s="7">
        <v>1</v>
      </c>
      <c r="F2" t="s">
        <v>31</v>
      </c>
      <c r="G2" t="s">
        <v>32</v>
      </c>
      <c r="H2" t="s">
        <v>30</v>
      </c>
      <c r="I2" t="s">
        <v>48</v>
      </c>
      <c r="J2" t="s">
        <v>37</v>
      </c>
      <c r="K2" t="s">
        <v>49</v>
      </c>
      <c r="L2" t="s">
        <v>15</v>
      </c>
    </row>
    <row r="3" spans="1:12" x14ac:dyDescent="0.25">
      <c r="A3" s="6">
        <v>46279</v>
      </c>
      <c r="B3" t="s">
        <v>14</v>
      </c>
      <c r="C3" s="9">
        <v>0.3541666666678793</v>
      </c>
      <c r="D3" s="9">
        <v>0.40625</v>
      </c>
      <c r="E3" s="7">
        <v>1.25</v>
      </c>
      <c r="F3" t="s">
        <v>31</v>
      </c>
      <c r="G3" t="s">
        <v>32</v>
      </c>
      <c r="H3" t="s">
        <v>30</v>
      </c>
      <c r="I3" t="s">
        <v>48</v>
      </c>
      <c r="J3" t="s">
        <v>37</v>
      </c>
      <c r="K3" t="s">
        <v>50</v>
      </c>
      <c r="L3" t="s">
        <v>15</v>
      </c>
    </row>
    <row r="4" spans="1:12" x14ac:dyDescent="0.25">
      <c r="A4" s="6">
        <v>46279</v>
      </c>
      <c r="B4" t="s">
        <v>14</v>
      </c>
      <c r="C4" s="9">
        <v>0.40625</v>
      </c>
      <c r="D4" s="9">
        <v>0.5</v>
      </c>
      <c r="E4" s="7">
        <v>2.25</v>
      </c>
      <c r="F4" t="s">
        <v>31</v>
      </c>
      <c r="G4" t="s">
        <v>32</v>
      </c>
      <c r="H4" t="s">
        <v>30</v>
      </c>
      <c r="I4" t="s">
        <v>51</v>
      </c>
      <c r="J4" t="s">
        <v>38</v>
      </c>
      <c r="K4" t="s">
        <v>49</v>
      </c>
      <c r="L4" t="s">
        <v>15</v>
      </c>
    </row>
    <row r="5" spans="1:12" x14ac:dyDescent="0.25">
      <c r="A5" s="6">
        <v>46279</v>
      </c>
      <c r="B5" t="s">
        <v>14</v>
      </c>
      <c r="C5" s="9">
        <v>0.5416666666678793</v>
      </c>
      <c r="D5" s="9">
        <v>0.5833333333321207</v>
      </c>
      <c r="E5" s="7">
        <v>1</v>
      </c>
      <c r="F5" t="s">
        <v>28</v>
      </c>
      <c r="G5" t="s">
        <v>29</v>
      </c>
      <c r="H5" t="s">
        <v>30</v>
      </c>
      <c r="I5" t="s">
        <v>52</v>
      </c>
      <c r="J5" t="s">
        <v>39</v>
      </c>
      <c r="K5" t="s">
        <v>49</v>
      </c>
      <c r="L5" t="s">
        <v>15</v>
      </c>
    </row>
    <row r="6" spans="1:12" x14ac:dyDescent="0.25">
      <c r="A6" s="6">
        <v>46279</v>
      </c>
      <c r="B6" t="s">
        <v>14</v>
      </c>
      <c r="C6" s="9">
        <v>0.5833333333321207</v>
      </c>
      <c r="D6" s="9">
        <v>0.6979166666678793</v>
      </c>
      <c r="E6" s="7">
        <v>2.75</v>
      </c>
      <c r="F6" t="s">
        <v>31</v>
      </c>
      <c r="G6" t="s">
        <v>32</v>
      </c>
      <c r="H6" t="s">
        <v>30</v>
      </c>
      <c r="I6" t="s">
        <v>53</v>
      </c>
      <c r="J6" t="s">
        <v>40</v>
      </c>
      <c r="K6" t="s">
        <v>49</v>
      </c>
      <c r="L6" t="s">
        <v>15</v>
      </c>
    </row>
    <row r="7" spans="1:12" x14ac:dyDescent="0.25">
      <c r="A7" s="6">
        <v>46280</v>
      </c>
      <c r="B7" t="s">
        <v>16</v>
      </c>
      <c r="C7" s="9">
        <v>0.31597222222262644</v>
      </c>
      <c r="D7" s="9">
        <v>0.44097222222262644</v>
      </c>
      <c r="E7" s="7">
        <v>3</v>
      </c>
      <c r="F7" t="s">
        <v>28</v>
      </c>
      <c r="G7" t="s">
        <v>29</v>
      </c>
      <c r="H7" t="s">
        <v>30</v>
      </c>
      <c r="I7" t="s">
        <v>48</v>
      </c>
      <c r="J7" t="s">
        <v>37</v>
      </c>
      <c r="K7" t="s">
        <v>49</v>
      </c>
      <c r="L7" t="s">
        <v>15</v>
      </c>
    </row>
    <row r="8" spans="1:12" x14ac:dyDescent="0.25">
      <c r="A8" s="6">
        <v>46280</v>
      </c>
      <c r="B8" t="s">
        <v>16</v>
      </c>
      <c r="C8" s="9">
        <v>0.44097222222262644</v>
      </c>
      <c r="D8" s="9">
        <v>0.5</v>
      </c>
      <c r="E8" s="7">
        <v>1.4166666666666667</v>
      </c>
      <c r="F8" t="s">
        <v>31</v>
      </c>
      <c r="G8" t="s">
        <v>32</v>
      </c>
      <c r="H8" t="s">
        <v>30</v>
      </c>
      <c r="I8" t="s">
        <v>53</v>
      </c>
      <c r="J8" t="s">
        <v>40</v>
      </c>
      <c r="K8" t="s">
        <v>50</v>
      </c>
      <c r="L8" t="s">
        <v>15</v>
      </c>
    </row>
    <row r="9" spans="1:12" x14ac:dyDescent="0.25">
      <c r="A9" s="6">
        <v>46280</v>
      </c>
      <c r="B9" t="s">
        <v>16</v>
      </c>
      <c r="C9" s="9">
        <v>0.5416666666678793</v>
      </c>
      <c r="D9" s="9">
        <v>0.6666666666678793</v>
      </c>
      <c r="E9" s="7">
        <v>3</v>
      </c>
      <c r="F9" t="s">
        <v>28</v>
      </c>
      <c r="G9" t="s">
        <v>29</v>
      </c>
      <c r="H9" t="s">
        <v>30</v>
      </c>
      <c r="I9" t="s">
        <v>51</v>
      </c>
      <c r="J9" t="s">
        <v>38</v>
      </c>
      <c r="K9" t="s">
        <v>49</v>
      </c>
      <c r="L9" t="s">
        <v>15</v>
      </c>
    </row>
    <row r="10" spans="1:12" x14ac:dyDescent="0.25">
      <c r="A10" s="6">
        <v>46281</v>
      </c>
      <c r="B10" t="s">
        <v>17</v>
      </c>
      <c r="C10" s="9">
        <v>0.3194444444452529</v>
      </c>
      <c r="D10" s="9">
        <v>0.40277777777737356</v>
      </c>
      <c r="E10" s="7">
        <v>2</v>
      </c>
      <c r="F10" t="s">
        <v>28</v>
      </c>
      <c r="G10" t="s">
        <v>29</v>
      </c>
      <c r="H10" t="s">
        <v>30</v>
      </c>
      <c r="I10" t="s">
        <v>51</v>
      </c>
      <c r="J10" t="s">
        <v>38</v>
      </c>
      <c r="K10" t="s">
        <v>49</v>
      </c>
      <c r="L10" t="s">
        <v>15</v>
      </c>
    </row>
    <row r="11" spans="1:12" x14ac:dyDescent="0.25">
      <c r="A11" s="6">
        <v>46281</v>
      </c>
      <c r="B11" t="s">
        <v>17</v>
      </c>
      <c r="C11" s="9">
        <v>0.40277777777737356</v>
      </c>
      <c r="D11" s="9">
        <v>0.5</v>
      </c>
      <c r="E11" s="7">
        <v>2.3333333333333335</v>
      </c>
      <c r="F11" t="s">
        <v>28</v>
      </c>
      <c r="G11" t="s">
        <v>29</v>
      </c>
      <c r="H11" t="s">
        <v>30</v>
      </c>
      <c r="I11" t="s">
        <v>48</v>
      </c>
      <c r="J11" t="s">
        <v>37</v>
      </c>
      <c r="K11" t="s">
        <v>49</v>
      </c>
      <c r="L11" t="s">
        <v>15</v>
      </c>
    </row>
    <row r="12" spans="1:12" x14ac:dyDescent="0.25">
      <c r="A12" s="6">
        <v>46281</v>
      </c>
      <c r="B12" t="s">
        <v>17</v>
      </c>
      <c r="C12" s="9">
        <v>0.5416666666678793</v>
      </c>
      <c r="D12" s="9">
        <v>0.6041666666678793</v>
      </c>
      <c r="E12" s="7">
        <v>1.5</v>
      </c>
      <c r="F12" t="s">
        <v>28</v>
      </c>
      <c r="G12" t="s">
        <v>29</v>
      </c>
      <c r="H12" t="s">
        <v>30</v>
      </c>
      <c r="I12" t="s">
        <v>48</v>
      </c>
      <c r="J12" t="s">
        <v>37</v>
      </c>
      <c r="K12" t="s">
        <v>49</v>
      </c>
      <c r="L12" t="s">
        <v>15</v>
      </c>
    </row>
    <row r="13" spans="1:12" x14ac:dyDescent="0.25">
      <c r="A13" s="6">
        <v>46281</v>
      </c>
      <c r="B13" t="s">
        <v>17</v>
      </c>
      <c r="C13" s="9">
        <v>0.6041666666678793</v>
      </c>
      <c r="D13" s="9">
        <v>0.65625</v>
      </c>
      <c r="E13" s="7">
        <v>1.25</v>
      </c>
      <c r="F13" t="s">
        <v>28</v>
      </c>
      <c r="G13" t="s">
        <v>29</v>
      </c>
      <c r="H13" t="s">
        <v>30</v>
      </c>
      <c r="I13" t="s">
        <v>51</v>
      </c>
      <c r="J13" t="s">
        <v>38</v>
      </c>
      <c r="K13" t="s">
        <v>49</v>
      </c>
      <c r="L13" t="s">
        <v>15</v>
      </c>
    </row>
    <row r="14" spans="1:12" x14ac:dyDescent="0.25">
      <c r="A14" s="6">
        <v>46281</v>
      </c>
      <c r="B14" t="s">
        <v>17</v>
      </c>
      <c r="C14" s="9">
        <v>0.65625</v>
      </c>
      <c r="D14" s="9">
        <v>0.6875</v>
      </c>
      <c r="E14" s="7">
        <v>0.75</v>
      </c>
      <c r="F14" t="s">
        <v>28</v>
      </c>
      <c r="G14" t="s">
        <v>29</v>
      </c>
      <c r="H14" t="s">
        <v>30</v>
      </c>
      <c r="I14" t="s">
        <v>48</v>
      </c>
      <c r="J14" t="s">
        <v>37</v>
      </c>
      <c r="K14" t="s">
        <v>49</v>
      </c>
      <c r="L14" t="s">
        <v>15</v>
      </c>
    </row>
    <row r="15" spans="1:12" x14ac:dyDescent="0.25">
      <c r="A15" s="6">
        <v>46282</v>
      </c>
      <c r="B15" t="s">
        <v>18</v>
      </c>
      <c r="C15" s="9">
        <v>0.3125</v>
      </c>
      <c r="D15" s="9">
        <v>0.4375</v>
      </c>
      <c r="E15" s="7">
        <v>3</v>
      </c>
      <c r="F15" t="s">
        <v>31</v>
      </c>
      <c r="G15" t="s">
        <v>32</v>
      </c>
      <c r="H15" t="s">
        <v>30</v>
      </c>
      <c r="I15" t="s">
        <v>48</v>
      </c>
      <c r="J15" t="s">
        <v>37</v>
      </c>
      <c r="K15" t="s">
        <v>49</v>
      </c>
      <c r="L15" t="s">
        <v>15</v>
      </c>
    </row>
    <row r="16" spans="1:12" x14ac:dyDescent="0.25">
      <c r="A16" s="6">
        <v>46282</v>
      </c>
      <c r="B16" t="s">
        <v>18</v>
      </c>
      <c r="C16" s="9">
        <v>0.4375</v>
      </c>
      <c r="D16" s="9">
        <v>0.5</v>
      </c>
      <c r="E16" s="7">
        <v>1.5</v>
      </c>
      <c r="F16" t="s">
        <v>28</v>
      </c>
      <c r="G16" t="s">
        <v>29</v>
      </c>
      <c r="H16" t="s">
        <v>30</v>
      </c>
      <c r="I16" t="s">
        <v>52</v>
      </c>
      <c r="J16" t="s">
        <v>39</v>
      </c>
      <c r="K16" t="s">
        <v>49</v>
      </c>
      <c r="L16" t="s">
        <v>15</v>
      </c>
    </row>
    <row r="17" spans="1:12" x14ac:dyDescent="0.25">
      <c r="A17" s="6">
        <v>46282</v>
      </c>
      <c r="B17" t="s">
        <v>18</v>
      </c>
      <c r="C17" s="9">
        <v>0.5416666666678793</v>
      </c>
      <c r="D17" s="9">
        <v>0.6770833333321207</v>
      </c>
      <c r="E17" s="7">
        <v>3.25</v>
      </c>
      <c r="F17" t="s">
        <v>33</v>
      </c>
      <c r="G17" t="s">
        <v>34</v>
      </c>
      <c r="H17" t="s">
        <v>35</v>
      </c>
      <c r="I17" t="s">
        <v>52</v>
      </c>
      <c r="J17" t="s">
        <v>39</v>
      </c>
      <c r="K17" t="s">
        <v>49</v>
      </c>
      <c r="L17" t="s">
        <v>54</v>
      </c>
    </row>
    <row r="18" spans="1:12" x14ac:dyDescent="0.25">
      <c r="A18" s="6">
        <v>46282</v>
      </c>
      <c r="B18" t="s">
        <v>18</v>
      </c>
      <c r="C18" s="9">
        <v>0.5625</v>
      </c>
      <c r="D18" s="9">
        <v>0.625</v>
      </c>
      <c r="E18" s="7">
        <v>1.5</v>
      </c>
      <c r="F18" t="s">
        <v>28</v>
      </c>
      <c r="G18" t="s">
        <v>29</v>
      </c>
      <c r="H18" t="s">
        <v>30</v>
      </c>
      <c r="I18" t="s">
        <v>51</v>
      </c>
      <c r="J18" t="s">
        <v>38</v>
      </c>
      <c r="K18" t="s">
        <v>49</v>
      </c>
      <c r="L18" t="s">
        <v>54</v>
      </c>
    </row>
    <row r="19" spans="1:12" x14ac:dyDescent="0.25">
      <c r="A19" s="6">
        <v>46283</v>
      </c>
      <c r="B19" t="s">
        <v>19</v>
      </c>
      <c r="C19" s="9">
        <v>0.3125</v>
      </c>
      <c r="D19" s="9">
        <v>0.4166666666678793</v>
      </c>
      <c r="E19" s="7">
        <v>2.5</v>
      </c>
      <c r="F19" t="s">
        <v>33</v>
      </c>
      <c r="G19" t="s">
        <v>34</v>
      </c>
      <c r="H19" t="s">
        <v>35</v>
      </c>
      <c r="I19" t="s">
        <v>48</v>
      </c>
      <c r="J19" t="s">
        <v>37</v>
      </c>
      <c r="K19" t="s">
        <v>49</v>
      </c>
      <c r="L19" t="s">
        <v>15</v>
      </c>
    </row>
    <row r="20" spans="1:12" x14ac:dyDescent="0.25">
      <c r="A20" s="6">
        <v>46283</v>
      </c>
      <c r="B20" t="s">
        <v>19</v>
      </c>
      <c r="C20" s="9">
        <v>0.4166666666678793</v>
      </c>
      <c r="D20" s="9">
        <v>0.5</v>
      </c>
      <c r="E20" s="7">
        <v>2</v>
      </c>
      <c r="F20" t="s">
        <v>33</v>
      </c>
      <c r="G20" t="s">
        <v>34</v>
      </c>
      <c r="H20" t="s">
        <v>35</v>
      </c>
      <c r="I20" t="s">
        <v>52</v>
      </c>
      <c r="J20" t="s">
        <v>39</v>
      </c>
      <c r="K20" t="s">
        <v>49</v>
      </c>
      <c r="L20" t="s">
        <v>15</v>
      </c>
    </row>
    <row r="21" spans="1:12" x14ac:dyDescent="0.25">
      <c r="A21" s="6">
        <v>46283</v>
      </c>
      <c r="B21" t="s">
        <v>19</v>
      </c>
      <c r="C21" s="9">
        <v>0.5416666666678793</v>
      </c>
      <c r="D21" s="9">
        <v>0.59375</v>
      </c>
      <c r="E21" s="7">
        <v>1.25</v>
      </c>
      <c r="F21" t="s">
        <v>28</v>
      </c>
      <c r="G21" t="s">
        <v>29</v>
      </c>
      <c r="H21" t="s">
        <v>30</v>
      </c>
      <c r="I21" t="s">
        <v>52</v>
      </c>
      <c r="J21" t="s">
        <v>39</v>
      </c>
      <c r="K21" t="s">
        <v>49</v>
      </c>
      <c r="L21" t="s">
        <v>15</v>
      </c>
    </row>
    <row r="22" spans="1:12" x14ac:dyDescent="0.25">
      <c r="A22" s="6">
        <v>46283</v>
      </c>
      <c r="B22" t="s">
        <v>19</v>
      </c>
      <c r="C22" s="9">
        <v>0.59375</v>
      </c>
      <c r="D22" s="9">
        <v>0.8333333333321207</v>
      </c>
      <c r="E22" s="7">
        <v>5.75</v>
      </c>
      <c r="F22" t="s">
        <v>28</v>
      </c>
      <c r="G22" t="s">
        <v>29</v>
      </c>
      <c r="H22" t="s">
        <v>30</v>
      </c>
      <c r="I22" t="s">
        <v>48</v>
      </c>
      <c r="J22" t="s">
        <v>37</v>
      </c>
      <c r="K22" t="s">
        <v>49</v>
      </c>
      <c r="L22" t="s">
        <v>20</v>
      </c>
    </row>
    <row r="23" spans="1:12" x14ac:dyDescent="0.25">
      <c r="A23" s="6">
        <v>46284</v>
      </c>
      <c r="B23" t="s">
        <v>21</v>
      </c>
      <c r="C23" s="9">
        <v>0.3125</v>
      </c>
      <c r="D23" s="9">
        <v>0.3958333333321207</v>
      </c>
      <c r="E23" s="7">
        <v>2</v>
      </c>
      <c r="F23" t="s">
        <v>31</v>
      </c>
      <c r="G23" t="s">
        <v>32</v>
      </c>
      <c r="H23" t="s">
        <v>30</v>
      </c>
      <c r="I23" t="s">
        <v>51</v>
      </c>
      <c r="J23" t="s">
        <v>38</v>
      </c>
      <c r="K23" t="s">
        <v>49</v>
      </c>
      <c r="L23" t="s">
        <v>15</v>
      </c>
    </row>
    <row r="24" spans="1:12" x14ac:dyDescent="0.25">
      <c r="A24" s="6">
        <v>46284</v>
      </c>
      <c r="B24" t="s">
        <v>21</v>
      </c>
      <c r="C24" s="9">
        <v>0.3958333333321207</v>
      </c>
      <c r="D24" s="9">
        <v>0.4583333333321207</v>
      </c>
      <c r="E24" s="7">
        <v>1.5</v>
      </c>
      <c r="F24" t="s">
        <v>31</v>
      </c>
      <c r="G24" t="s">
        <v>32</v>
      </c>
      <c r="H24" t="s">
        <v>30</v>
      </c>
      <c r="I24" t="s">
        <v>53</v>
      </c>
      <c r="J24" t="s">
        <v>40</v>
      </c>
      <c r="K24" t="s">
        <v>49</v>
      </c>
      <c r="L2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Synthèse</vt:lpstr>
      <vt:lpstr>Pointages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GLM</dc:creator>
  <dc:title/>
  <dc:subject/>
  <dc:description/>
  <cp:keywords/>
  <cp:category/>
  <cp:lastModifiedBy>Unknown</cp:lastModifiedBy>
  <dcterms:created xsi:type="dcterms:W3CDTF">2026-10-12T07:42:00Z</dcterms:created>
  <dcterms:modified xsi:type="dcterms:W3CDTF">2026-10-12T12:39:39Z</dcterms:modified>
</cp:coreProperties>
</file>