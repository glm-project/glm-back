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nthèse" state="visible" r:id="rId4"/>
    <sheet sheetId="2" name="Pointages" state="visible" r:id="rId5"/>
  </sheets>
  <calcPr calcId="171027"/>
</workbook>
</file>

<file path=xl/sharedStrings.xml><?xml version="1.0" encoding="utf-8"?>
<sst xmlns="http://schemas.openxmlformats.org/spreadsheetml/2006/main" count="855" uniqueCount="58">
  <si>
    <t>Rapport d'activité</t>
  </si>
  <si>
    <t>Opérateur</t>
  </si>
  <si>
    <t>Martin Lefèvre (MLE)</t>
  </si>
  <si>
    <t>Période</t>
  </si>
  <si>
    <t>Septembre 2026 · du 1er au 30</t>
  </si>
  <si>
    <t>Généré le</t>
  </si>
  <si>
    <t>Temps pointé (h)</t>
  </si>
  <si>
    <t>Jours avec pointage</t>
  </si>
  <si>
    <t>Dont non-conformité (h)</t>
  </si>
  <si>
    <t>Éléments</t>
  </si>
  <si>
    <t>Date</t>
  </si>
  <si>
    <t>Jour</t>
  </si>
  <si>
    <t>Dont NC (h)</t>
  </si>
  <si>
    <t>Mention</t>
  </si>
  <si>
    <t>mar.</t>
  </si>
  <si>
    <t/>
  </si>
  <si>
    <t>mer.</t>
  </si>
  <si>
    <t>jeu.</t>
  </si>
  <si>
    <t>ven.</t>
  </si>
  <si>
    <t>lun.</t>
  </si>
  <si>
    <t>fin automatique</t>
  </si>
  <si>
    <t>sam.</t>
  </si>
  <si>
    <t>Total</t>
  </si>
  <si>
    <t>Référence</t>
  </si>
  <si>
    <t>Élément</t>
  </si>
  <si>
    <t>Catégorie</t>
  </si>
  <si>
    <t>Temps (h)</t>
  </si>
  <si>
    <t>OF-2026-000187</t>
  </si>
  <si>
    <t>Châssis soudé CH-40</t>
  </si>
  <si>
    <t>OF</t>
  </si>
  <si>
    <t>OF-2026-000201</t>
  </si>
  <si>
    <t>Carter inox 3 mm</t>
  </si>
  <si>
    <t>OF-2026-000192</t>
  </si>
  <si>
    <t>Support moteur SM-12</t>
  </si>
  <si>
    <t>OF-2026-000214</t>
  </si>
  <si>
    <t>Bâti presse BP-7</t>
  </si>
  <si>
    <t>SAV-2026-0031</t>
  </si>
  <si>
    <t>Reprise garde-corps</t>
  </si>
  <si>
    <t>SAV</t>
  </si>
  <si>
    <t>Nature de travail</t>
  </si>
  <si>
    <t>Soudage</t>
  </si>
  <si>
    <t>Montage</t>
  </si>
  <si>
    <t>Contrôle</t>
  </si>
  <si>
    <t>Pliage</t>
  </si>
  <si>
    <t>Le temps pointé mesure le temps passé sur les éléments, pas la présence.</t>
  </si>
  <si>
    <t>Début</t>
  </si>
  <si>
    <t>Fin</t>
  </si>
  <si>
    <t>Durée (h)</t>
  </si>
  <si>
    <t>Poste</t>
  </si>
  <si>
    <t>Nature</t>
  </si>
  <si>
    <t>Activité</t>
  </si>
  <si>
    <t>Établi montage A</t>
  </si>
  <si>
    <t>Travail</t>
  </si>
  <si>
    <t>Soudure TIG 2</t>
  </si>
  <si>
    <t>Non-conformité</t>
  </si>
  <si>
    <t>Plieuse P1</t>
  </si>
  <si>
    <t>Contrôle final</t>
  </si>
  <si>
    <t>en même temps qu'un autre 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</si>
</sst>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 hh:mm"/>
    <numFmt numFmtId="165" formatCode="dd/mm/yyyy"/>
    <numFmt numFmtId="166" formatCode="0.00;-0.00;&quot;&quot;"/>
    <numFmt numFmtId="167" formatCode="hh:mm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color rgb="FF555555"/>
    </font>
    <font>
      <b/>
    </font>
    <font>
      <i/>
      <color rgb="FF55555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 applyAlignment="1">
      <alignment horizontal="left"/>
    </xf>
    <xf numFmtId="2" fontId="3" fillId="0" borderId="0" xfId="0" applyNumberFormat="1" applyFont="1"/>
    <xf numFmtId="165" fontId="0" fillId="0" borderId="0" xfId="0" applyNumberFormat="1"/>
    <xf numFmtId="166" fontId="0" fillId="0" borderId="0" xfId="0" applyNumberFormat="1"/>
    <xf numFmtId="0" fontId="4" fillId="0" borderId="0" xfId="0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Jours" displayName="Jours" ref="A9:E33" totalsRowCount="1" headerRowCount="1">
  <autoFilter ref="A9:E32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Date" totalsRowLabel="Total"/>
    <tableColumn id="2" name="Jour" totalsRowFunction="none"/>
    <tableColumn id="3" name="Temps pointé (h)" totalsRowFunction="sum"/>
    <tableColumn id="4" name="Dont NC (h)" totalsRowFunction="sum"/>
    <tableColumn id="5" name="Mention" totalsRowFunction="non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Elements" displayName="Elements" ref="A35:E41" totalsRowCount="1" headerRowCount="1">
  <autoFilter ref="A35:E40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Référence" totalsRowLabel="Total"/>
    <tableColumn id="2" name="Élément" totalsRowFunction="none"/>
    <tableColumn id="3" name="Catégorie" totalsRowFunction="none"/>
    <tableColumn id="4" name="Temps (h)" totalsRowFunction="sum"/>
    <tableColumn id="5" name="Dont NC (h)" totalsRowFunction="sum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Natures" displayName="Natures" ref="A43:B48" totalsRowCount="1" headerRowCount="1">
  <autoFilter ref="A43:B47">
    <filterColumn colId="0" hiddenButton="1"/>
    <filterColumn colId="1" hiddenButton="1"/>
  </autoFilter>
  <tableColumns count="2">
    <tableColumn id="1" name="Nature de travail" totalsRowLabel="Total"/>
    <tableColumn id="2" name="Temps (h)" totalsRowFunction="sum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Pointages" displayName="Pointages" ref="A1:L95" totalsRowShown="1" headerRowCount="1">
  <autoFilter ref="A1:L95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Date" totalsRowLabel="Total"/>
    <tableColumn id="2" name="Jour" totalsRowFunction="none"/>
    <tableColumn id="3" name="Début" totalsRowFunction="none"/>
    <tableColumn id="4" name="Fin" totalsRowFunction="none"/>
    <tableColumn id="5" name="Durée (h)" totalsRowFunction="none"/>
    <tableColumn id="6" name="Référence" totalsRowFunction="none"/>
    <tableColumn id="7" name="Élément" totalsRowFunction="none"/>
    <tableColumn id="8" name="Catégorie" totalsRowFunction="none"/>
    <tableColumn id="9" name="Poste" totalsRowFunction="none"/>
    <tableColumn id="10" name="Nature" totalsRowFunction="none"/>
    <tableColumn id="11" name="Activité" totalsRowFunction="none"/>
    <tableColumn id="12" name="Mention" totalsRowFunction="non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FormatPr defaultRowHeight="15" outlineLevelRow="0" outlineLevelCol="0" x14ac:dyDescent="55"/>
  <cols>
    <col min="1" max="1" width="24" customWidth="1"/>
    <col min="2" max="2" width="26" customWidth="1"/>
    <col min="3" max="3" width="18" customWidth="1"/>
    <col min="4" max="4" width="16" customWidth="1"/>
    <col min="5" max="5" width="18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s="4">
        <v>46307.40416666667</v>
      </c>
    </row>
    <row r="6" spans="1:4" x14ac:dyDescent="0.25">
      <c r="A6" s="2" t="s">
        <v>6</v>
      </c>
      <c r="B6" s="5">
        <v>164.08333333333334</v>
      </c>
      <c r="C6" s="2" t="s">
        <v>7</v>
      </c>
      <c r="D6" s="3">
        <v>21</v>
      </c>
    </row>
    <row r="7" spans="1:4" x14ac:dyDescent="0.25">
      <c r="A7" s="2" t="s">
        <v>8</v>
      </c>
      <c r="B7" s="5">
        <v>6.916666666666667</v>
      </c>
      <c r="C7" s="2" t="s">
        <v>9</v>
      </c>
      <c r="D7" s="3">
        <v>5</v>
      </c>
    </row>
    <row r="9" spans="1:5" x14ac:dyDescent="0.25">
      <c r="A9" t="s">
        <v>10</v>
      </c>
      <c r="B9" t="s">
        <v>11</v>
      </c>
      <c r="C9" t="s">
        <v>6</v>
      </c>
      <c r="D9" t="s">
        <v>12</v>
      </c>
      <c r="E9" t="s">
        <v>13</v>
      </c>
    </row>
    <row r="10" spans="1:5" x14ac:dyDescent="0.25">
      <c r="A10" s="6">
        <v>46266</v>
      </c>
      <c r="B10" t="s">
        <v>14</v>
      </c>
      <c r="C10" s="7">
        <v>8</v>
      </c>
      <c r="D10" s="7">
        <v>0</v>
      </c>
      <c r="E10" t="s">
        <v>15</v>
      </c>
    </row>
    <row r="11" spans="1:5" x14ac:dyDescent="0.25">
      <c r="A11" s="6">
        <v>46267</v>
      </c>
      <c r="B11" t="s">
        <v>16</v>
      </c>
      <c r="C11" s="7">
        <v>8</v>
      </c>
      <c r="D11" s="7">
        <v>0</v>
      </c>
      <c r="E11" t="s">
        <v>15</v>
      </c>
    </row>
    <row r="12" spans="1:5" x14ac:dyDescent="0.25">
      <c r="A12" s="6">
        <v>46268</v>
      </c>
      <c r="B12" t="s">
        <v>17</v>
      </c>
      <c r="C12" s="7">
        <v>7.416666666666667</v>
      </c>
      <c r="D12" s="7">
        <v>1</v>
      </c>
      <c r="E12" t="s">
        <v>15</v>
      </c>
    </row>
    <row r="13" spans="1:5" x14ac:dyDescent="0.25">
      <c r="A13" s="6">
        <v>46269</v>
      </c>
      <c r="B13" t="s">
        <v>18</v>
      </c>
      <c r="C13" s="7">
        <v>8.166666666666666</v>
      </c>
      <c r="D13" s="7">
        <v>0</v>
      </c>
      <c r="E13" t="s">
        <v>15</v>
      </c>
    </row>
    <row r="14" spans="1:5" x14ac:dyDescent="0.25">
      <c r="A14" s="6">
        <v>46272</v>
      </c>
      <c r="B14" t="s">
        <v>19</v>
      </c>
      <c r="C14" s="7">
        <v>7.333333333333333</v>
      </c>
      <c r="D14" s="7">
        <v>0</v>
      </c>
      <c r="E14" t="s">
        <v>15</v>
      </c>
    </row>
    <row r="15" spans="1:5" x14ac:dyDescent="0.25">
      <c r="A15" s="6">
        <v>46273</v>
      </c>
      <c r="B15" t="s">
        <v>14</v>
      </c>
      <c r="C15" s="7">
        <v>0</v>
      </c>
      <c r="D15" s="7">
        <v>0</v>
      </c>
      <c r="E15" t="s">
        <v>15</v>
      </c>
    </row>
    <row r="16" spans="1:5" x14ac:dyDescent="0.25">
      <c r="A16" s="6">
        <v>46274</v>
      </c>
      <c r="B16" t="s">
        <v>16</v>
      </c>
      <c r="C16" s="7">
        <v>8.166666666666666</v>
      </c>
      <c r="D16" s="7">
        <v>1</v>
      </c>
      <c r="E16" t="s">
        <v>15</v>
      </c>
    </row>
    <row r="17" spans="1:5" x14ac:dyDescent="0.25">
      <c r="A17" s="6">
        <v>46275</v>
      </c>
      <c r="B17" t="s">
        <v>17</v>
      </c>
      <c r="C17" s="7">
        <v>7.416666666666667</v>
      </c>
      <c r="D17" s="7">
        <v>1.25</v>
      </c>
      <c r="E17" t="s">
        <v>15</v>
      </c>
    </row>
    <row r="18" spans="1:5" x14ac:dyDescent="0.25">
      <c r="A18" s="6">
        <v>46276</v>
      </c>
      <c r="B18" t="s">
        <v>18</v>
      </c>
      <c r="C18" s="7">
        <v>7.583333333333333</v>
      </c>
      <c r="D18" s="7">
        <v>0</v>
      </c>
      <c r="E18" t="s">
        <v>15</v>
      </c>
    </row>
    <row r="19" spans="1:5" x14ac:dyDescent="0.25">
      <c r="A19" s="6">
        <v>46279</v>
      </c>
      <c r="B19" t="s">
        <v>19</v>
      </c>
      <c r="C19" s="7">
        <v>8.25</v>
      </c>
      <c r="D19" s="7">
        <v>1.25</v>
      </c>
      <c r="E19" t="s">
        <v>15</v>
      </c>
    </row>
    <row r="20" spans="1:5" x14ac:dyDescent="0.25">
      <c r="A20" s="6">
        <v>46280</v>
      </c>
      <c r="B20" t="s">
        <v>14</v>
      </c>
      <c r="C20" s="7">
        <v>7.416666666666667</v>
      </c>
      <c r="D20" s="7">
        <v>1.4166666666666667</v>
      </c>
      <c r="E20" t="s">
        <v>15</v>
      </c>
    </row>
    <row r="21" spans="1:5" x14ac:dyDescent="0.25">
      <c r="A21" s="6">
        <v>46281</v>
      </c>
      <c r="B21" t="s">
        <v>16</v>
      </c>
      <c r="C21" s="7">
        <v>7.833333333333333</v>
      </c>
      <c r="D21" s="7">
        <v>0</v>
      </c>
      <c r="E21" t="s">
        <v>15</v>
      </c>
    </row>
    <row r="22" spans="1:5" x14ac:dyDescent="0.25">
      <c r="A22" s="6">
        <v>46282</v>
      </c>
      <c r="B22" t="s">
        <v>17</v>
      </c>
      <c r="C22" s="7">
        <v>9.25</v>
      </c>
      <c r="D22" s="7">
        <v>0</v>
      </c>
      <c r="E22" t="s">
        <v>15</v>
      </c>
    </row>
    <row r="23" spans="1:5" x14ac:dyDescent="0.25">
      <c r="A23" s="6">
        <v>46283</v>
      </c>
      <c r="B23" t="s">
        <v>18</v>
      </c>
      <c r="C23" s="7">
        <v>11.5</v>
      </c>
      <c r="D23" s="7">
        <v>0</v>
      </c>
      <c r="E23" t="s">
        <v>20</v>
      </c>
    </row>
    <row r="24" spans="1:5" x14ac:dyDescent="0.25">
      <c r="A24" s="6">
        <v>46284</v>
      </c>
      <c r="B24" t="s">
        <v>21</v>
      </c>
      <c r="C24" s="7">
        <v>3.5</v>
      </c>
      <c r="D24" s="7">
        <v>0</v>
      </c>
      <c r="E24" t="s">
        <v>15</v>
      </c>
    </row>
    <row r="25" spans="1:5" x14ac:dyDescent="0.25">
      <c r="A25" s="6">
        <v>46286</v>
      </c>
      <c r="B25" t="s">
        <v>19</v>
      </c>
      <c r="C25" s="7">
        <v>8.083333333333334</v>
      </c>
      <c r="D25" s="7">
        <v>0</v>
      </c>
      <c r="E25" t="s">
        <v>15</v>
      </c>
    </row>
    <row r="26" spans="1:5" x14ac:dyDescent="0.25">
      <c r="A26" s="6">
        <v>46287</v>
      </c>
      <c r="B26" t="s">
        <v>14</v>
      </c>
      <c r="C26" s="7">
        <v>8.25</v>
      </c>
      <c r="D26" s="7">
        <v>0</v>
      </c>
      <c r="E26" t="s">
        <v>15</v>
      </c>
    </row>
    <row r="27" spans="1:5" x14ac:dyDescent="0.25">
      <c r="A27" s="6">
        <v>46288</v>
      </c>
      <c r="B27" t="s">
        <v>16</v>
      </c>
      <c r="C27" s="7">
        <v>7.5</v>
      </c>
      <c r="D27" s="7">
        <v>0</v>
      </c>
      <c r="E27" t="s">
        <v>15</v>
      </c>
    </row>
    <row r="28" spans="1:5" x14ac:dyDescent="0.25">
      <c r="A28" s="6">
        <v>46289</v>
      </c>
      <c r="B28" t="s">
        <v>17</v>
      </c>
      <c r="C28" s="7">
        <v>7.5</v>
      </c>
      <c r="D28" s="7">
        <v>0</v>
      </c>
      <c r="E28" t="s">
        <v>15</v>
      </c>
    </row>
    <row r="29" spans="1:5" x14ac:dyDescent="0.25">
      <c r="A29" s="6">
        <v>46290</v>
      </c>
      <c r="B29" t="s">
        <v>18</v>
      </c>
      <c r="C29" s="7">
        <v>7.333333333333333</v>
      </c>
      <c r="D29" s="7">
        <v>1</v>
      </c>
      <c r="E29" t="s">
        <v>15</v>
      </c>
    </row>
    <row r="30" spans="1:5" x14ac:dyDescent="0.25">
      <c r="A30" s="6">
        <v>46293</v>
      </c>
      <c r="B30" t="s">
        <v>19</v>
      </c>
      <c r="C30" s="7">
        <v>7.833333333333333</v>
      </c>
      <c r="D30" s="7">
        <v>0</v>
      </c>
      <c r="E30" t="s">
        <v>15</v>
      </c>
    </row>
    <row r="31" spans="1:5" x14ac:dyDescent="0.25">
      <c r="A31" s="6">
        <v>46294</v>
      </c>
      <c r="B31" t="s">
        <v>14</v>
      </c>
      <c r="C31" s="7">
        <v>0</v>
      </c>
      <c r="D31" s="7">
        <v>0</v>
      </c>
      <c r="E31" t="s">
        <v>15</v>
      </c>
    </row>
    <row r="32" spans="1:5" x14ac:dyDescent="0.25">
      <c r="A32" s="6">
        <v>46295</v>
      </c>
      <c r="B32" t="s">
        <v>16</v>
      </c>
      <c r="C32" s="7">
        <v>7.75</v>
      </c>
      <c r="D32" s="7">
        <v>0</v>
      </c>
      <c r="E32" t="s">
        <v>15</v>
      </c>
    </row>
    <row r="33" spans="1:5" x14ac:dyDescent="0.25">
      <c r="A33" s="6" t="s">
        <v>22</v>
      </c>
      <c r="C33" s="7">
        <f>SUBTOTAL(109,Jours[Temps pointé (h)])</f>
      </c>
      <c r="D33" s="7">
        <f>SUBTOTAL(109,Jours[Dont NC (h)])</f>
      </c>
    </row>
    <row r="35" spans="1:5" x14ac:dyDescent="0.25">
      <c r="A35" t="s">
        <v>23</v>
      </c>
      <c r="B35" t="s">
        <v>24</v>
      </c>
      <c r="C35" t="s">
        <v>25</v>
      </c>
      <c r="D35" t="s">
        <v>26</v>
      </c>
      <c r="E35" t="s">
        <v>12</v>
      </c>
    </row>
    <row r="36" spans="1:5" x14ac:dyDescent="0.25">
      <c r="A36" t="s">
        <v>27</v>
      </c>
      <c r="B36" t="s">
        <v>28</v>
      </c>
      <c r="C36" t="s">
        <v>29</v>
      </c>
      <c r="D36" s="7">
        <v>56.666666666666664</v>
      </c>
      <c r="E36" s="7">
        <v>2.25</v>
      </c>
    </row>
    <row r="37" spans="1:5" x14ac:dyDescent="0.25">
      <c r="A37" t="s">
        <v>30</v>
      </c>
      <c r="B37" t="s">
        <v>31</v>
      </c>
      <c r="C37" t="s">
        <v>29</v>
      </c>
      <c r="D37" s="7">
        <v>52.583333333333336</v>
      </c>
      <c r="E37" s="7">
        <v>3.6666666666666665</v>
      </c>
    </row>
    <row r="38" spans="1:5" x14ac:dyDescent="0.25">
      <c r="A38" t="s">
        <v>32</v>
      </c>
      <c r="B38" t="s">
        <v>33</v>
      </c>
      <c r="C38" t="s">
        <v>29</v>
      </c>
      <c r="D38" s="7">
        <v>33.5</v>
      </c>
      <c r="E38" s="7">
        <v>1</v>
      </c>
    </row>
    <row r="39" spans="1:5" x14ac:dyDescent="0.25">
      <c r="A39" t="s">
        <v>34</v>
      </c>
      <c r="B39" t="s">
        <v>35</v>
      </c>
      <c r="C39" t="s">
        <v>29</v>
      </c>
      <c r="D39" s="7">
        <v>13.583333333333334</v>
      </c>
      <c r="E39" s="7">
        <v>0</v>
      </c>
    </row>
    <row r="40" spans="1:5" x14ac:dyDescent="0.25">
      <c r="A40" t="s">
        <v>36</v>
      </c>
      <c r="B40" t="s">
        <v>37</v>
      </c>
      <c r="C40" t="s">
        <v>38</v>
      </c>
      <c r="D40" s="7">
        <v>7.75</v>
      </c>
      <c r="E40" s="7">
        <v>0</v>
      </c>
    </row>
    <row r="41" spans="1:5" x14ac:dyDescent="0.25">
      <c r="A41" t="s">
        <v>22</v>
      </c>
      <c r="D41" s="7">
        <f>SUBTOTAL(109,Elements[Temps (h)])</f>
      </c>
      <c r="E41" s="7">
        <f>SUBTOTAL(109,Elements[Dont NC (h)])</f>
      </c>
    </row>
    <row r="43" spans="1:2" x14ac:dyDescent="0.25">
      <c r="A43" t="s">
        <v>39</v>
      </c>
      <c r="B43" t="s">
        <v>26</v>
      </c>
    </row>
    <row r="44" spans="1:2" x14ac:dyDescent="0.25">
      <c r="A44" t="s">
        <v>40</v>
      </c>
      <c r="B44" s="7">
        <v>77.66666666666667</v>
      </c>
    </row>
    <row r="45" spans="1:2" x14ac:dyDescent="0.25">
      <c r="A45" t="s">
        <v>41</v>
      </c>
      <c r="B45" s="7">
        <v>40.333333333333336</v>
      </c>
    </row>
    <row r="46" spans="1:2" x14ac:dyDescent="0.25">
      <c r="A46" t="s">
        <v>42</v>
      </c>
      <c r="B46" s="7">
        <v>24.833333333333332</v>
      </c>
    </row>
    <row r="47" spans="1:2" x14ac:dyDescent="0.25">
      <c r="A47" t="s">
        <v>43</v>
      </c>
      <c r="B47" s="7">
        <v>21.25</v>
      </c>
    </row>
    <row r="48" spans="1:2" x14ac:dyDescent="0.25">
      <c r="A48" t="s">
        <v>22</v>
      </c>
      <c r="B48" s="7">
        <f>SUBTOTAL(109,Natures[Temps (h)])</f>
      </c>
    </row>
    <row r="50" spans="1:1" x14ac:dyDescent="0.25">
      <c r="A50" s="8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" customWidth="1"/>
    <col min="3" max="4" width="8" customWidth="1"/>
    <col min="5" max="5" width="10" customWidth="1"/>
    <col min="6" max="6" width="17" customWidth="1"/>
    <col min="7" max="7" width="24" customWidth="1"/>
    <col min="8" max="8" width="11" customWidth="1"/>
    <col min="9" max="9" width="18" customWidth="1"/>
    <col min="10" max="10" width="12" customWidth="1"/>
    <col min="11" max="11" width="16" customWidth="1"/>
    <col min="12" max="12" width="30" customWidth="1"/>
  </cols>
  <sheetData>
    <row r="1" spans="1:12" x14ac:dyDescent="0.25">
      <c r="A1" t="s">
        <v>10</v>
      </c>
      <c r="B1" t="s">
        <v>11</v>
      </c>
      <c r="C1" t="s">
        <v>45</v>
      </c>
      <c r="D1" t="s">
        <v>46</v>
      </c>
      <c r="E1" t="s">
        <v>47</v>
      </c>
      <c r="F1" t="s">
        <v>23</v>
      </c>
      <c r="G1" t="s">
        <v>24</v>
      </c>
      <c r="H1" t="s">
        <v>25</v>
      </c>
      <c r="I1" t="s">
        <v>48</v>
      </c>
      <c r="J1" t="s">
        <v>49</v>
      </c>
      <c r="K1" t="s">
        <v>50</v>
      </c>
      <c r="L1" t="s">
        <v>13</v>
      </c>
    </row>
    <row r="2" spans="1:12" x14ac:dyDescent="0.25">
      <c r="A2" s="6">
        <v>46266</v>
      </c>
      <c r="B2" t="s">
        <v>14</v>
      </c>
      <c r="C2" s="9">
        <v>0.3125</v>
      </c>
      <c r="D2" s="9">
        <v>0.3541666666678793</v>
      </c>
      <c r="E2" s="7">
        <v>1</v>
      </c>
      <c r="F2" t="s">
        <v>27</v>
      </c>
      <c r="G2" t="s">
        <v>28</v>
      </c>
      <c r="H2" t="s">
        <v>29</v>
      </c>
      <c r="I2" t="s">
        <v>51</v>
      </c>
      <c r="J2" t="s">
        <v>41</v>
      </c>
      <c r="K2" t="s">
        <v>52</v>
      </c>
      <c r="L2" t="s">
        <v>15</v>
      </c>
    </row>
    <row r="3" spans="1:12" x14ac:dyDescent="0.25">
      <c r="A3" s="6">
        <v>46266</v>
      </c>
      <c r="B3" t="s">
        <v>14</v>
      </c>
      <c r="C3" s="9">
        <v>0.3541666666678793</v>
      </c>
      <c r="D3" s="9">
        <v>0.4166666666678793</v>
      </c>
      <c r="E3" s="7">
        <v>1.5</v>
      </c>
      <c r="F3" t="s">
        <v>27</v>
      </c>
      <c r="G3" t="s">
        <v>28</v>
      </c>
      <c r="H3" t="s">
        <v>29</v>
      </c>
      <c r="I3" t="s">
        <v>51</v>
      </c>
      <c r="J3" t="s">
        <v>41</v>
      </c>
      <c r="K3" t="s">
        <v>52</v>
      </c>
      <c r="L3" t="s">
        <v>15</v>
      </c>
    </row>
    <row r="4" spans="1:12" x14ac:dyDescent="0.25">
      <c r="A4" s="6">
        <v>46266</v>
      </c>
      <c r="B4" t="s">
        <v>14</v>
      </c>
      <c r="C4" s="9">
        <v>0.4166666666678793</v>
      </c>
      <c r="D4" s="9">
        <v>0.5</v>
      </c>
      <c r="E4" s="7">
        <v>2</v>
      </c>
      <c r="F4" t="s">
        <v>27</v>
      </c>
      <c r="G4" t="s">
        <v>28</v>
      </c>
      <c r="H4" t="s">
        <v>29</v>
      </c>
      <c r="I4" t="s">
        <v>53</v>
      </c>
      <c r="J4" t="s">
        <v>40</v>
      </c>
      <c r="K4" t="s">
        <v>52</v>
      </c>
      <c r="L4" t="s">
        <v>15</v>
      </c>
    </row>
    <row r="5" spans="1:12" x14ac:dyDescent="0.25">
      <c r="A5" s="6">
        <v>46266</v>
      </c>
      <c r="B5" t="s">
        <v>14</v>
      </c>
      <c r="C5" s="9">
        <v>0.5416666666678793</v>
      </c>
      <c r="D5" s="9">
        <v>0.6666666666678793</v>
      </c>
      <c r="E5" s="7">
        <v>3</v>
      </c>
      <c r="F5" t="s">
        <v>27</v>
      </c>
      <c r="G5" t="s">
        <v>28</v>
      </c>
      <c r="H5" t="s">
        <v>29</v>
      </c>
      <c r="I5" t="s">
        <v>53</v>
      </c>
      <c r="J5" t="s">
        <v>40</v>
      </c>
      <c r="K5" t="s">
        <v>52</v>
      </c>
      <c r="L5" t="s">
        <v>15</v>
      </c>
    </row>
    <row r="6" spans="1:12" x14ac:dyDescent="0.25">
      <c r="A6" s="6">
        <v>46266</v>
      </c>
      <c r="B6" t="s">
        <v>14</v>
      </c>
      <c r="C6" s="9">
        <v>0.6666666666678793</v>
      </c>
      <c r="D6" s="9">
        <v>0.6875</v>
      </c>
      <c r="E6" s="7">
        <v>0.5</v>
      </c>
      <c r="F6" t="s">
        <v>27</v>
      </c>
      <c r="G6" t="s">
        <v>28</v>
      </c>
      <c r="H6" t="s">
        <v>29</v>
      </c>
      <c r="I6" t="s">
        <v>51</v>
      </c>
      <c r="J6" t="s">
        <v>41</v>
      </c>
      <c r="K6" t="s">
        <v>52</v>
      </c>
      <c r="L6" t="s">
        <v>15</v>
      </c>
    </row>
    <row r="7" spans="1:12" x14ac:dyDescent="0.25">
      <c r="A7" s="6">
        <v>46267</v>
      </c>
      <c r="B7" t="s">
        <v>16</v>
      </c>
      <c r="C7" s="9">
        <v>0.3125</v>
      </c>
      <c r="D7" s="9">
        <v>0.4166666666678793</v>
      </c>
      <c r="E7" s="7">
        <v>2.5</v>
      </c>
      <c r="F7" t="s">
        <v>27</v>
      </c>
      <c r="G7" t="s">
        <v>28</v>
      </c>
      <c r="H7" t="s">
        <v>29</v>
      </c>
      <c r="I7" t="s">
        <v>51</v>
      </c>
      <c r="J7" t="s">
        <v>41</v>
      </c>
      <c r="K7" t="s">
        <v>52</v>
      </c>
      <c r="L7" t="s">
        <v>15</v>
      </c>
    </row>
    <row r="8" spans="1:12" x14ac:dyDescent="0.25">
      <c r="A8" s="6">
        <v>46267</v>
      </c>
      <c r="B8" t="s">
        <v>16</v>
      </c>
      <c r="C8" s="9">
        <v>0.4166666666678793</v>
      </c>
      <c r="D8" s="9">
        <v>0.5</v>
      </c>
      <c r="E8" s="7">
        <v>2</v>
      </c>
      <c r="F8" t="s">
        <v>27</v>
      </c>
      <c r="G8" t="s">
        <v>28</v>
      </c>
      <c r="H8" t="s">
        <v>29</v>
      </c>
      <c r="I8" t="s">
        <v>51</v>
      </c>
      <c r="J8" t="s">
        <v>41</v>
      </c>
      <c r="K8" t="s">
        <v>52</v>
      </c>
      <c r="L8" t="s">
        <v>15</v>
      </c>
    </row>
    <row r="9" spans="1:12" x14ac:dyDescent="0.25">
      <c r="A9" s="6">
        <v>46267</v>
      </c>
      <c r="B9" t="s">
        <v>16</v>
      </c>
      <c r="C9" s="9">
        <v>0.5416666666678793</v>
      </c>
      <c r="D9" s="9">
        <v>0.5833333333321207</v>
      </c>
      <c r="E9" s="7">
        <v>1</v>
      </c>
      <c r="F9" t="s">
        <v>27</v>
      </c>
      <c r="G9" t="s">
        <v>28</v>
      </c>
      <c r="H9" t="s">
        <v>29</v>
      </c>
      <c r="I9" t="s">
        <v>51</v>
      </c>
      <c r="J9" t="s">
        <v>41</v>
      </c>
      <c r="K9" t="s">
        <v>52</v>
      </c>
      <c r="L9" t="s">
        <v>15</v>
      </c>
    </row>
    <row r="10" spans="1:12" x14ac:dyDescent="0.25">
      <c r="A10" s="6">
        <v>46267</v>
      </c>
      <c r="B10" t="s">
        <v>16</v>
      </c>
      <c r="C10" s="9">
        <v>0.5833333333321207</v>
      </c>
      <c r="D10" s="9">
        <v>0.6354166666678793</v>
      </c>
      <c r="E10" s="7">
        <v>1.25</v>
      </c>
      <c r="F10" t="s">
        <v>27</v>
      </c>
      <c r="G10" t="s">
        <v>28</v>
      </c>
      <c r="H10" t="s">
        <v>29</v>
      </c>
      <c r="I10" t="s">
        <v>53</v>
      </c>
      <c r="J10" t="s">
        <v>40</v>
      </c>
      <c r="K10" t="s">
        <v>52</v>
      </c>
      <c r="L10" t="s">
        <v>15</v>
      </c>
    </row>
    <row r="11" spans="1:12" x14ac:dyDescent="0.25">
      <c r="A11" s="6">
        <v>46267</v>
      </c>
      <c r="B11" t="s">
        <v>16</v>
      </c>
      <c r="C11" s="9">
        <v>0.6354166666678793</v>
      </c>
      <c r="D11" s="9">
        <v>0.6875</v>
      </c>
      <c r="E11" s="7">
        <v>1.25</v>
      </c>
      <c r="F11" t="s">
        <v>27</v>
      </c>
      <c r="G11" t="s">
        <v>28</v>
      </c>
      <c r="H11" t="s">
        <v>29</v>
      </c>
      <c r="I11" t="s">
        <v>53</v>
      </c>
      <c r="J11" t="s">
        <v>40</v>
      </c>
      <c r="K11" t="s">
        <v>52</v>
      </c>
      <c r="L11" t="s">
        <v>15</v>
      </c>
    </row>
    <row r="12" spans="1:12" x14ac:dyDescent="0.25">
      <c r="A12" s="6">
        <v>46268</v>
      </c>
      <c r="B12" t="s">
        <v>17</v>
      </c>
      <c r="C12" s="9">
        <v>0.31597222222262644</v>
      </c>
      <c r="D12" s="9">
        <v>0.3993055555547471</v>
      </c>
      <c r="E12" s="7">
        <v>2</v>
      </c>
      <c r="F12" t="s">
        <v>27</v>
      </c>
      <c r="G12" t="s">
        <v>28</v>
      </c>
      <c r="H12" t="s">
        <v>29</v>
      </c>
      <c r="I12" t="s">
        <v>53</v>
      </c>
      <c r="J12" t="s">
        <v>40</v>
      </c>
      <c r="K12" t="s">
        <v>52</v>
      </c>
      <c r="L12" t="s">
        <v>15</v>
      </c>
    </row>
    <row r="13" spans="1:12" x14ac:dyDescent="0.25">
      <c r="A13" s="6">
        <v>46268</v>
      </c>
      <c r="B13" t="s">
        <v>17</v>
      </c>
      <c r="C13" s="9">
        <v>0.3993055555547471</v>
      </c>
      <c r="D13" s="9">
        <v>0.5</v>
      </c>
      <c r="E13" s="7">
        <v>2.4166666666666665</v>
      </c>
      <c r="F13" t="s">
        <v>27</v>
      </c>
      <c r="G13" t="s">
        <v>28</v>
      </c>
      <c r="H13" t="s">
        <v>29</v>
      </c>
      <c r="I13" t="s">
        <v>51</v>
      </c>
      <c r="J13" t="s">
        <v>41</v>
      </c>
      <c r="K13" t="s">
        <v>52</v>
      </c>
      <c r="L13" t="s">
        <v>15</v>
      </c>
    </row>
    <row r="14" spans="1:12" x14ac:dyDescent="0.25">
      <c r="A14" s="6">
        <v>46268</v>
      </c>
      <c r="B14" t="s">
        <v>17</v>
      </c>
      <c r="C14" s="9">
        <v>0.5416666666678793</v>
      </c>
      <c r="D14" s="9">
        <v>0.625</v>
      </c>
      <c r="E14" s="7">
        <v>2</v>
      </c>
      <c r="F14" t="s">
        <v>27</v>
      </c>
      <c r="G14" t="s">
        <v>28</v>
      </c>
      <c r="H14" t="s">
        <v>29</v>
      </c>
      <c r="I14" t="s">
        <v>51</v>
      </c>
      <c r="J14" t="s">
        <v>41</v>
      </c>
      <c r="K14" t="s">
        <v>52</v>
      </c>
      <c r="L14" t="s">
        <v>15</v>
      </c>
    </row>
    <row r="15" spans="1:12" x14ac:dyDescent="0.25">
      <c r="A15" s="6">
        <v>46268</v>
      </c>
      <c r="B15" t="s">
        <v>17</v>
      </c>
      <c r="C15" s="9">
        <v>0.625</v>
      </c>
      <c r="D15" s="9">
        <v>0.6666666666678793</v>
      </c>
      <c r="E15" s="7">
        <v>1</v>
      </c>
      <c r="F15" t="s">
        <v>27</v>
      </c>
      <c r="G15" t="s">
        <v>28</v>
      </c>
      <c r="H15" t="s">
        <v>29</v>
      </c>
      <c r="I15" t="s">
        <v>51</v>
      </c>
      <c r="J15" t="s">
        <v>41</v>
      </c>
      <c r="K15" t="s">
        <v>54</v>
      </c>
      <c r="L15" t="s">
        <v>15</v>
      </c>
    </row>
    <row r="16" spans="1:12" x14ac:dyDescent="0.25">
      <c r="A16" s="6">
        <v>46269</v>
      </c>
      <c r="B16" t="s">
        <v>18</v>
      </c>
      <c r="C16" s="9">
        <v>0.31597222222262644</v>
      </c>
      <c r="D16" s="9">
        <v>0.35763888889050577</v>
      </c>
      <c r="E16" s="7">
        <v>1</v>
      </c>
      <c r="F16" t="s">
        <v>27</v>
      </c>
      <c r="G16" t="s">
        <v>28</v>
      </c>
      <c r="H16" t="s">
        <v>29</v>
      </c>
      <c r="I16" t="s">
        <v>51</v>
      </c>
      <c r="J16" t="s">
        <v>41</v>
      </c>
      <c r="K16" t="s">
        <v>52</v>
      </c>
      <c r="L16" t="s">
        <v>15</v>
      </c>
    </row>
    <row r="17" spans="1:12" x14ac:dyDescent="0.25">
      <c r="A17" s="6">
        <v>46269</v>
      </c>
      <c r="B17" t="s">
        <v>18</v>
      </c>
      <c r="C17" s="9">
        <v>0.35763888889050577</v>
      </c>
      <c r="D17" s="9">
        <v>0.40972222222262644</v>
      </c>
      <c r="E17" s="7">
        <v>1.25</v>
      </c>
      <c r="F17" t="s">
        <v>27</v>
      </c>
      <c r="G17" t="s">
        <v>28</v>
      </c>
      <c r="H17" t="s">
        <v>29</v>
      </c>
      <c r="I17" t="s">
        <v>51</v>
      </c>
      <c r="J17" t="s">
        <v>41</v>
      </c>
      <c r="K17" t="s">
        <v>52</v>
      </c>
      <c r="L17" t="s">
        <v>15</v>
      </c>
    </row>
    <row r="18" spans="1:12" x14ac:dyDescent="0.25">
      <c r="A18" s="6">
        <v>46269</v>
      </c>
      <c r="B18" t="s">
        <v>18</v>
      </c>
      <c r="C18" s="9">
        <v>0.40972222222262644</v>
      </c>
      <c r="D18" s="9">
        <v>0.5</v>
      </c>
      <c r="E18" s="7">
        <v>2.1666666666666665</v>
      </c>
      <c r="F18" t="s">
        <v>27</v>
      </c>
      <c r="G18" t="s">
        <v>28</v>
      </c>
      <c r="H18" t="s">
        <v>29</v>
      </c>
      <c r="I18" t="s">
        <v>51</v>
      </c>
      <c r="J18" t="s">
        <v>41</v>
      </c>
      <c r="K18" t="s">
        <v>52</v>
      </c>
      <c r="L18" t="s">
        <v>15</v>
      </c>
    </row>
    <row r="19" spans="1:12" x14ac:dyDescent="0.25">
      <c r="A19" s="6">
        <v>46269</v>
      </c>
      <c r="B19" t="s">
        <v>18</v>
      </c>
      <c r="C19" s="9">
        <v>0.5416666666678793</v>
      </c>
      <c r="D19" s="9">
        <v>0.625</v>
      </c>
      <c r="E19" s="7">
        <v>2</v>
      </c>
      <c r="F19" t="s">
        <v>27</v>
      </c>
      <c r="G19" t="s">
        <v>28</v>
      </c>
      <c r="H19" t="s">
        <v>29</v>
      </c>
      <c r="I19" t="s">
        <v>53</v>
      </c>
      <c r="J19" t="s">
        <v>40</v>
      </c>
      <c r="K19" t="s">
        <v>52</v>
      </c>
      <c r="L19" t="s">
        <v>15</v>
      </c>
    </row>
    <row r="20" spans="1:12" x14ac:dyDescent="0.25">
      <c r="A20" s="6">
        <v>46269</v>
      </c>
      <c r="B20" t="s">
        <v>18</v>
      </c>
      <c r="C20" s="9">
        <v>0.625</v>
      </c>
      <c r="D20" s="9">
        <v>0.6979166666678793</v>
      </c>
      <c r="E20" s="7">
        <v>1.75</v>
      </c>
      <c r="F20" t="s">
        <v>27</v>
      </c>
      <c r="G20" t="s">
        <v>28</v>
      </c>
      <c r="H20" t="s">
        <v>29</v>
      </c>
      <c r="I20" t="s">
        <v>51</v>
      </c>
      <c r="J20" t="s">
        <v>41</v>
      </c>
      <c r="K20" t="s">
        <v>52</v>
      </c>
      <c r="L20" t="s">
        <v>15</v>
      </c>
    </row>
    <row r="21" spans="1:12" x14ac:dyDescent="0.25">
      <c r="A21" s="6">
        <v>46272</v>
      </c>
      <c r="B21" t="s">
        <v>19</v>
      </c>
      <c r="C21" s="9">
        <v>0.3194444444452529</v>
      </c>
      <c r="D21" s="9">
        <v>0.37152777777737356</v>
      </c>
      <c r="E21" s="7">
        <v>1.25</v>
      </c>
      <c r="F21" t="s">
        <v>32</v>
      </c>
      <c r="G21" t="s">
        <v>33</v>
      </c>
      <c r="H21" t="s">
        <v>29</v>
      </c>
      <c r="I21" t="s">
        <v>51</v>
      </c>
      <c r="J21" t="s">
        <v>41</v>
      </c>
      <c r="K21" t="s">
        <v>52</v>
      </c>
      <c r="L21" t="s">
        <v>15</v>
      </c>
    </row>
    <row r="22" spans="1:12" x14ac:dyDescent="0.25">
      <c r="A22" s="6">
        <v>46272</v>
      </c>
      <c r="B22" t="s">
        <v>19</v>
      </c>
      <c r="C22" s="9">
        <v>0.37152777777737356</v>
      </c>
      <c r="D22" s="9">
        <v>0.4131944444452529</v>
      </c>
      <c r="E22" s="7">
        <v>1</v>
      </c>
      <c r="F22" t="s">
        <v>27</v>
      </c>
      <c r="G22" t="s">
        <v>28</v>
      </c>
      <c r="H22" t="s">
        <v>29</v>
      </c>
      <c r="I22" t="s">
        <v>51</v>
      </c>
      <c r="J22" t="s">
        <v>41</v>
      </c>
      <c r="K22" t="s">
        <v>52</v>
      </c>
      <c r="L22" t="s">
        <v>15</v>
      </c>
    </row>
    <row r="23" spans="1:12" x14ac:dyDescent="0.25">
      <c r="A23" s="6">
        <v>46272</v>
      </c>
      <c r="B23" t="s">
        <v>19</v>
      </c>
      <c r="C23" s="9">
        <v>0.4131944444452529</v>
      </c>
      <c r="D23" s="9">
        <v>0.46527777777737356</v>
      </c>
      <c r="E23" s="7">
        <v>1.25</v>
      </c>
      <c r="F23" t="s">
        <v>27</v>
      </c>
      <c r="G23" t="s">
        <v>28</v>
      </c>
      <c r="H23" t="s">
        <v>29</v>
      </c>
      <c r="I23" t="s">
        <v>53</v>
      </c>
      <c r="J23" t="s">
        <v>40</v>
      </c>
      <c r="K23" t="s">
        <v>52</v>
      </c>
      <c r="L23" t="s">
        <v>15</v>
      </c>
    </row>
    <row r="24" spans="1:12" x14ac:dyDescent="0.25">
      <c r="A24" s="6">
        <v>46272</v>
      </c>
      <c r="B24" t="s">
        <v>19</v>
      </c>
      <c r="C24" s="9">
        <v>0.46527777777737356</v>
      </c>
      <c r="D24" s="9">
        <v>0.5</v>
      </c>
      <c r="E24" s="7">
        <v>0.8333333333333334</v>
      </c>
      <c r="F24" t="s">
        <v>27</v>
      </c>
      <c r="G24" t="s">
        <v>28</v>
      </c>
      <c r="H24" t="s">
        <v>29</v>
      </c>
      <c r="I24" t="s">
        <v>51</v>
      </c>
      <c r="J24" t="s">
        <v>41</v>
      </c>
      <c r="K24" t="s">
        <v>52</v>
      </c>
      <c r="L24" t="s">
        <v>15</v>
      </c>
    </row>
    <row r="25" spans="1:12" x14ac:dyDescent="0.25">
      <c r="A25" s="6">
        <v>46272</v>
      </c>
      <c r="B25" t="s">
        <v>19</v>
      </c>
      <c r="C25" s="9">
        <v>0.5416666666678793</v>
      </c>
      <c r="D25" s="9">
        <v>0.6666666666678793</v>
      </c>
      <c r="E25" s="7">
        <v>3</v>
      </c>
      <c r="F25" t="s">
        <v>27</v>
      </c>
      <c r="G25" t="s">
        <v>28</v>
      </c>
      <c r="H25" t="s">
        <v>29</v>
      </c>
      <c r="I25" t="s">
        <v>53</v>
      </c>
      <c r="J25" t="s">
        <v>40</v>
      </c>
      <c r="K25" t="s">
        <v>52</v>
      </c>
      <c r="L25" t="s">
        <v>15</v>
      </c>
    </row>
    <row r="26" spans="1:12" x14ac:dyDescent="0.25">
      <c r="A26" s="6">
        <v>46274</v>
      </c>
      <c r="B26" t="s">
        <v>16</v>
      </c>
      <c r="C26" s="9">
        <v>0.31597222222262644</v>
      </c>
      <c r="D26" s="9">
        <v>0.35763888889050577</v>
      </c>
      <c r="E26" s="7">
        <v>1</v>
      </c>
      <c r="F26" t="s">
        <v>32</v>
      </c>
      <c r="G26" t="s">
        <v>33</v>
      </c>
      <c r="H26" t="s">
        <v>29</v>
      </c>
      <c r="I26" t="s">
        <v>53</v>
      </c>
      <c r="J26" t="s">
        <v>40</v>
      </c>
      <c r="K26" t="s">
        <v>52</v>
      </c>
      <c r="L26" t="s">
        <v>15</v>
      </c>
    </row>
    <row r="27" spans="1:12" x14ac:dyDescent="0.25">
      <c r="A27" s="6">
        <v>46274</v>
      </c>
      <c r="B27" t="s">
        <v>16</v>
      </c>
      <c r="C27" s="9">
        <v>0.35763888889050577</v>
      </c>
      <c r="D27" s="9">
        <v>0.4618055555547471</v>
      </c>
      <c r="E27" s="7">
        <v>2.5</v>
      </c>
      <c r="F27" t="s">
        <v>27</v>
      </c>
      <c r="G27" t="s">
        <v>28</v>
      </c>
      <c r="H27" t="s">
        <v>29</v>
      </c>
      <c r="I27" t="s">
        <v>53</v>
      </c>
      <c r="J27" t="s">
        <v>40</v>
      </c>
      <c r="K27" t="s">
        <v>52</v>
      </c>
      <c r="L27" t="s">
        <v>15</v>
      </c>
    </row>
    <row r="28" spans="1:12" x14ac:dyDescent="0.25">
      <c r="A28" s="6">
        <v>46274</v>
      </c>
      <c r="B28" t="s">
        <v>16</v>
      </c>
      <c r="C28" s="9">
        <v>0.4618055555547471</v>
      </c>
      <c r="D28" s="9">
        <v>0.5</v>
      </c>
      <c r="E28" s="7">
        <v>0.9166666666666666</v>
      </c>
      <c r="F28" t="s">
        <v>27</v>
      </c>
      <c r="G28" t="s">
        <v>28</v>
      </c>
      <c r="H28" t="s">
        <v>29</v>
      </c>
      <c r="I28" t="s">
        <v>51</v>
      </c>
      <c r="J28" t="s">
        <v>41</v>
      </c>
      <c r="K28" t="s">
        <v>52</v>
      </c>
      <c r="L28" t="s">
        <v>15</v>
      </c>
    </row>
    <row r="29" spans="1:12" x14ac:dyDescent="0.25">
      <c r="A29" s="6">
        <v>46274</v>
      </c>
      <c r="B29" t="s">
        <v>16</v>
      </c>
      <c r="C29" s="9">
        <v>0.5416666666678793</v>
      </c>
      <c r="D29" s="9">
        <v>0.6041666666678793</v>
      </c>
      <c r="E29" s="7">
        <v>1.5</v>
      </c>
      <c r="F29" t="s">
        <v>32</v>
      </c>
      <c r="G29" t="s">
        <v>33</v>
      </c>
      <c r="H29" t="s">
        <v>29</v>
      </c>
      <c r="I29" t="s">
        <v>53</v>
      </c>
      <c r="J29" t="s">
        <v>40</v>
      </c>
      <c r="K29" t="s">
        <v>52</v>
      </c>
      <c r="L29" t="s">
        <v>15</v>
      </c>
    </row>
    <row r="30" spans="1:12" x14ac:dyDescent="0.25">
      <c r="A30" s="6">
        <v>46274</v>
      </c>
      <c r="B30" t="s">
        <v>16</v>
      </c>
      <c r="C30" s="9">
        <v>0.6041666666678793</v>
      </c>
      <c r="D30" s="9">
        <v>0.65625</v>
      </c>
      <c r="E30" s="7">
        <v>1.25</v>
      </c>
      <c r="F30" t="s">
        <v>27</v>
      </c>
      <c r="G30" t="s">
        <v>28</v>
      </c>
      <c r="H30" t="s">
        <v>29</v>
      </c>
      <c r="I30" t="s">
        <v>53</v>
      </c>
      <c r="J30" t="s">
        <v>40</v>
      </c>
      <c r="K30" t="s">
        <v>52</v>
      </c>
      <c r="L30" t="s">
        <v>15</v>
      </c>
    </row>
    <row r="31" spans="1:12" x14ac:dyDescent="0.25">
      <c r="A31" s="6">
        <v>46274</v>
      </c>
      <c r="B31" t="s">
        <v>16</v>
      </c>
      <c r="C31" s="9">
        <v>0.65625</v>
      </c>
      <c r="D31" s="9">
        <v>0.6979166666678793</v>
      </c>
      <c r="E31" s="7">
        <v>1</v>
      </c>
      <c r="F31" t="s">
        <v>32</v>
      </c>
      <c r="G31" t="s">
        <v>33</v>
      </c>
      <c r="H31" t="s">
        <v>29</v>
      </c>
      <c r="I31" t="s">
        <v>53</v>
      </c>
      <c r="J31" t="s">
        <v>40</v>
      </c>
      <c r="K31" t="s">
        <v>54</v>
      </c>
      <c r="L31" t="s">
        <v>15</v>
      </c>
    </row>
    <row r="32" spans="1:12" x14ac:dyDescent="0.25">
      <c r="A32" s="6">
        <v>46275</v>
      </c>
      <c r="B32" t="s">
        <v>17</v>
      </c>
      <c r="C32" s="9">
        <v>0.31597222222262644</v>
      </c>
      <c r="D32" s="9">
        <v>0.42013888889050577</v>
      </c>
      <c r="E32" s="7">
        <v>2.5</v>
      </c>
      <c r="F32" t="s">
        <v>27</v>
      </c>
      <c r="G32" t="s">
        <v>28</v>
      </c>
      <c r="H32" t="s">
        <v>29</v>
      </c>
      <c r="I32" t="s">
        <v>51</v>
      </c>
      <c r="J32" t="s">
        <v>41</v>
      </c>
      <c r="K32" t="s">
        <v>52</v>
      </c>
      <c r="L32" t="s">
        <v>15</v>
      </c>
    </row>
    <row r="33" spans="1:12" x14ac:dyDescent="0.25">
      <c r="A33" s="6">
        <v>46275</v>
      </c>
      <c r="B33" t="s">
        <v>17</v>
      </c>
      <c r="C33" s="9">
        <v>0.42013888889050577</v>
      </c>
      <c r="D33" s="9">
        <v>0.47222222222262644</v>
      </c>
      <c r="E33" s="7">
        <v>1.25</v>
      </c>
      <c r="F33" t="s">
        <v>27</v>
      </c>
      <c r="G33" t="s">
        <v>28</v>
      </c>
      <c r="H33" t="s">
        <v>29</v>
      </c>
      <c r="I33" t="s">
        <v>53</v>
      </c>
      <c r="J33" t="s">
        <v>40</v>
      </c>
      <c r="K33" t="s">
        <v>54</v>
      </c>
      <c r="L33" t="s">
        <v>15</v>
      </c>
    </row>
    <row r="34" spans="1:12" x14ac:dyDescent="0.25">
      <c r="A34" s="6">
        <v>46275</v>
      </c>
      <c r="B34" t="s">
        <v>17</v>
      </c>
      <c r="C34" s="9">
        <v>0.47222222222262644</v>
      </c>
      <c r="D34" s="9">
        <v>0.5</v>
      </c>
      <c r="E34" s="7">
        <v>0.6666666666666666</v>
      </c>
      <c r="F34" t="s">
        <v>32</v>
      </c>
      <c r="G34" t="s">
        <v>33</v>
      </c>
      <c r="H34" t="s">
        <v>29</v>
      </c>
      <c r="I34" t="s">
        <v>53</v>
      </c>
      <c r="J34" t="s">
        <v>40</v>
      </c>
      <c r="K34" t="s">
        <v>52</v>
      </c>
      <c r="L34" t="s">
        <v>15</v>
      </c>
    </row>
    <row r="35" spans="1:12" x14ac:dyDescent="0.25">
      <c r="A35" s="6">
        <v>46275</v>
      </c>
      <c r="B35" t="s">
        <v>17</v>
      </c>
      <c r="C35" s="9">
        <v>0.5416666666678793</v>
      </c>
      <c r="D35" s="9">
        <v>0.625</v>
      </c>
      <c r="E35" s="7">
        <v>2</v>
      </c>
      <c r="F35" t="s">
        <v>27</v>
      </c>
      <c r="G35" t="s">
        <v>28</v>
      </c>
      <c r="H35" t="s">
        <v>29</v>
      </c>
      <c r="I35" t="s">
        <v>51</v>
      </c>
      <c r="J35" t="s">
        <v>41</v>
      </c>
      <c r="K35" t="s">
        <v>52</v>
      </c>
      <c r="L35" t="s">
        <v>15</v>
      </c>
    </row>
    <row r="36" spans="1:12" x14ac:dyDescent="0.25">
      <c r="A36" s="6">
        <v>46275</v>
      </c>
      <c r="B36" t="s">
        <v>17</v>
      </c>
      <c r="C36" s="9">
        <v>0.625</v>
      </c>
      <c r="D36" s="9">
        <v>0.6666666666678793</v>
      </c>
      <c r="E36" s="7">
        <v>1</v>
      </c>
      <c r="F36" t="s">
        <v>27</v>
      </c>
      <c r="G36" t="s">
        <v>28</v>
      </c>
      <c r="H36" t="s">
        <v>29</v>
      </c>
      <c r="I36" t="s">
        <v>53</v>
      </c>
      <c r="J36" t="s">
        <v>40</v>
      </c>
      <c r="K36" t="s">
        <v>52</v>
      </c>
      <c r="L36" t="s">
        <v>15</v>
      </c>
    </row>
    <row r="37" spans="1:12" x14ac:dyDescent="0.25">
      <c r="A37" s="6">
        <v>46276</v>
      </c>
      <c r="B37" t="s">
        <v>18</v>
      </c>
      <c r="C37" s="9">
        <v>0.3194444444452529</v>
      </c>
      <c r="D37" s="9">
        <v>0.40277777777737356</v>
      </c>
      <c r="E37" s="7">
        <v>2</v>
      </c>
      <c r="F37" t="s">
        <v>27</v>
      </c>
      <c r="G37" t="s">
        <v>28</v>
      </c>
      <c r="H37" t="s">
        <v>29</v>
      </c>
      <c r="I37" t="s">
        <v>53</v>
      </c>
      <c r="J37" t="s">
        <v>40</v>
      </c>
      <c r="K37" t="s">
        <v>52</v>
      </c>
      <c r="L37" t="s">
        <v>15</v>
      </c>
    </row>
    <row r="38" spans="1:12" x14ac:dyDescent="0.25">
      <c r="A38" s="6">
        <v>46276</v>
      </c>
      <c r="B38" t="s">
        <v>18</v>
      </c>
      <c r="C38" s="9">
        <v>0.40277777777737356</v>
      </c>
      <c r="D38" s="9">
        <v>0.5</v>
      </c>
      <c r="E38" s="7">
        <v>2.3333333333333335</v>
      </c>
      <c r="F38" t="s">
        <v>27</v>
      </c>
      <c r="G38" t="s">
        <v>28</v>
      </c>
      <c r="H38" t="s">
        <v>29</v>
      </c>
      <c r="I38" t="s">
        <v>53</v>
      </c>
      <c r="J38" t="s">
        <v>40</v>
      </c>
      <c r="K38" t="s">
        <v>52</v>
      </c>
      <c r="L38" t="s">
        <v>15</v>
      </c>
    </row>
    <row r="39" spans="1:12" x14ac:dyDescent="0.25">
      <c r="A39" s="6">
        <v>46276</v>
      </c>
      <c r="B39" t="s">
        <v>18</v>
      </c>
      <c r="C39" s="9">
        <v>0.5416666666678793</v>
      </c>
      <c r="D39" s="9">
        <v>0.6770833333321207</v>
      </c>
      <c r="E39" s="7">
        <v>3.25</v>
      </c>
      <c r="F39" t="s">
        <v>27</v>
      </c>
      <c r="G39" t="s">
        <v>28</v>
      </c>
      <c r="H39" t="s">
        <v>29</v>
      </c>
      <c r="I39" t="s">
        <v>53</v>
      </c>
      <c r="J39" t="s">
        <v>40</v>
      </c>
      <c r="K39" t="s">
        <v>52</v>
      </c>
      <c r="L39" t="s">
        <v>15</v>
      </c>
    </row>
    <row r="40" spans="1:12" x14ac:dyDescent="0.25">
      <c r="A40" s="6">
        <v>46279</v>
      </c>
      <c r="B40" t="s">
        <v>19</v>
      </c>
      <c r="C40" s="9">
        <v>0.3125</v>
      </c>
      <c r="D40" s="9">
        <v>0.3541666666678793</v>
      </c>
      <c r="E40" s="7">
        <v>1</v>
      </c>
      <c r="F40" t="s">
        <v>30</v>
      </c>
      <c r="G40" t="s">
        <v>31</v>
      </c>
      <c r="H40" t="s">
        <v>29</v>
      </c>
      <c r="I40" t="s">
        <v>53</v>
      </c>
      <c r="J40" t="s">
        <v>40</v>
      </c>
      <c r="K40" t="s">
        <v>52</v>
      </c>
      <c r="L40" t="s">
        <v>15</v>
      </c>
    </row>
    <row r="41" spans="1:12" x14ac:dyDescent="0.25">
      <c r="A41" s="6">
        <v>46279</v>
      </c>
      <c r="B41" t="s">
        <v>19</v>
      </c>
      <c r="C41" s="9">
        <v>0.3541666666678793</v>
      </c>
      <c r="D41" s="9">
        <v>0.40625</v>
      </c>
      <c r="E41" s="7">
        <v>1.25</v>
      </c>
      <c r="F41" t="s">
        <v>30</v>
      </c>
      <c r="G41" t="s">
        <v>31</v>
      </c>
      <c r="H41" t="s">
        <v>29</v>
      </c>
      <c r="I41" t="s">
        <v>53</v>
      </c>
      <c r="J41" t="s">
        <v>40</v>
      </c>
      <c r="K41" t="s">
        <v>54</v>
      </c>
      <c r="L41" t="s">
        <v>15</v>
      </c>
    </row>
    <row r="42" spans="1:12" x14ac:dyDescent="0.25">
      <c r="A42" s="6">
        <v>46279</v>
      </c>
      <c r="B42" t="s">
        <v>19</v>
      </c>
      <c r="C42" s="9">
        <v>0.40625</v>
      </c>
      <c r="D42" s="9">
        <v>0.5</v>
      </c>
      <c r="E42" s="7">
        <v>2.25</v>
      </c>
      <c r="F42" t="s">
        <v>30</v>
      </c>
      <c r="G42" t="s">
        <v>31</v>
      </c>
      <c r="H42" t="s">
        <v>29</v>
      </c>
      <c r="I42" t="s">
        <v>55</v>
      </c>
      <c r="J42" t="s">
        <v>43</v>
      </c>
      <c r="K42" t="s">
        <v>52</v>
      </c>
      <c r="L42" t="s">
        <v>15</v>
      </c>
    </row>
    <row r="43" spans="1:12" x14ac:dyDescent="0.25">
      <c r="A43" s="6">
        <v>46279</v>
      </c>
      <c r="B43" t="s">
        <v>19</v>
      </c>
      <c r="C43" s="9">
        <v>0.5416666666678793</v>
      </c>
      <c r="D43" s="9">
        <v>0.5833333333321207</v>
      </c>
      <c r="E43" s="7">
        <v>1</v>
      </c>
      <c r="F43" t="s">
        <v>32</v>
      </c>
      <c r="G43" t="s">
        <v>33</v>
      </c>
      <c r="H43" t="s">
        <v>29</v>
      </c>
      <c r="I43" t="s">
        <v>51</v>
      </c>
      <c r="J43" t="s">
        <v>41</v>
      </c>
      <c r="K43" t="s">
        <v>52</v>
      </c>
      <c r="L43" t="s">
        <v>15</v>
      </c>
    </row>
    <row r="44" spans="1:12" x14ac:dyDescent="0.25">
      <c r="A44" s="6">
        <v>46279</v>
      </c>
      <c r="B44" t="s">
        <v>19</v>
      </c>
      <c r="C44" s="9">
        <v>0.5833333333321207</v>
      </c>
      <c r="D44" s="9">
        <v>0.6979166666678793</v>
      </c>
      <c r="E44" s="7">
        <v>2.75</v>
      </c>
      <c r="F44" t="s">
        <v>30</v>
      </c>
      <c r="G44" t="s">
        <v>31</v>
      </c>
      <c r="H44" t="s">
        <v>29</v>
      </c>
      <c r="I44" t="s">
        <v>56</v>
      </c>
      <c r="J44" t="s">
        <v>42</v>
      </c>
      <c r="K44" t="s">
        <v>52</v>
      </c>
      <c r="L44" t="s">
        <v>15</v>
      </c>
    </row>
    <row r="45" spans="1:12" x14ac:dyDescent="0.25">
      <c r="A45" s="6">
        <v>46280</v>
      </c>
      <c r="B45" t="s">
        <v>14</v>
      </c>
      <c r="C45" s="9">
        <v>0.31597222222262644</v>
      </c>
      <c r="D45" s="9">
        <v>0.44097222222262644</v>
      </c>
      <c r="E45" s="7">
        <v>3</v>
      </c>
      <c r="F45" t="s">
        <v>32</v>
      </c>
      <c r="G45" t="s">
        <v>33</v>
      </c>
      <c r="H45" t="s">
        <v>29</v>
      </c>
      <c r="I45" t="s">
        <v>53</v>
      </c>
      <c r="J45" t="s">
        <v>40</v>
      </c>
      <c r="K45" t="s">
        <v>52</v>
      </c>
      <c r="L45" t="s">
        <v>15</v>
      </c>
    </row>
    <row r="46" spans="1:12" x14ac:dyDescent="0.25">
      <c r="A46" s="6">
        <v>46280</v>
      </c>
      <c r="B46" t="s">
        <v>14</v>
      </c>
      <c r="C46" s="9">
        <v>0.44097222222262644</v>
      </c>
      <c r="D46" s="9">
        <v>0.5</v>
      </c>
      <c r="E46" s="7">
        <v>1.4166666666666667</v>
      </c>
      <c r="F46" t="s">
        <v>30</v>
      </c>
      <c r="G46" t="s">
        <v>31</v>
      </c>
      <c r="H46" t="s">
        <v>29</v>
      </c>
      <c r="I46" t="s">
        <v>56</v>
      </c>
      <c r="J46" t="s">
        <v>42</v>
      </c>
      <c r="K46" t="s">
        <v>54</v>
      </c>
      <c r="L46" t="s">
        <v>15</v>
      </c>
    </row>
    <row r="47" spans="1:12" x14ac:dyDescent="0.25">
      <c r="A47" s="6">
        <v>46280</v>
      </c>
      <c r="B47" t="s">
        <v>14</v>
      </c>
      <c r="C47" s="9">
        <v>0.5416666666678793</v>
      </c>
      <c r="D47" s="9">
        <v>0.6666666666678793</v>
      </c>
      <c r="E47" s="7">
        <v>3</v>
      </c>
      <c r="F47" t="s">
        <v>32</v>
      </c>
      <c r="G47" t="s">
        <v>33</v>
      </c>
      <c r="H47" t="s">
        <v>29</v>
      </c>
      <c r="I47" t="s">
        <v>55</v>
      </c>
      <c r="J47" t="s">
        <v>43</v>
      </c>
      <c r="K47" t="s">
        <v>52</v>
      </c>
      <c r="L47" t="s">
        <v>15</v>
      </c>
    </row>
    <row r="48" spans="1:12" x14ac:dyDescent="0.25">
      <c r="A48" s="6">
        <v>46281</v>
      </c>
      <c r="B48" t="s">
        <v>16</v>
      </c>
      <c r="C48" s="9">
        <v>0.3194444444452529</v>
      </c>
      <c r="D48" s="9">
        <v>0.40277777777737356</v>
      </c>
      <c r="E48" s="7">
        <v>2</v>
      </c>
      <c r="F48" t="s">
        <v>32</v>
      </c>
      <c r="G48" t="s">
        <v>33</v>
      </c>
      <c r="H48" t="s">
        <v>29</v>
      </c>
      <c r="I48" t="s">
        <v>55</v>
      </c>
      <c r="J48" t="s">
        <v>43</v>
      </c>
      <c r="K48" t="s">
        <v>52</v>
      </c>
      <c r="L48" t="s">
        <v>15</v>
      </c>
    </row>
    <row r="49" spans="1:12" x14ac:dyDescent="0.25">
      <c r="A49" s="6">
        <v>46281</v>
      </c>
      <c r="B49" t="s">
        <v>16</v>
      </c>
      <c r="C49" s="9">
        <v>0.40277777777737356</v>
      </c>
      <c r="D49" s="9">
        <v>0.5</v>
      </c>
      <c r="E49" s="7">
        <v>2.3333333333333335</v>
      </c>
      <c r="F49" t="s">
        <v>32</v>
      </c>
      <c r="G49" t="s">
        <v>33</v>
      </c>
      <c r="H49" t="s">
        <v>29</v>
      </c>
      <c r="I49" t="s">
        <v>53</v>
      </c>
      <c r="J49" t="s">
        <v>40</v>
      </c>
      <c r="K49" t="s">
        <v>52</v>
      </c>
      <c r="L49" t="s">
        <v>15</v>
      </c>
    </row>
    <row r="50" spans="1:12" x14ac:dyDescent="0.25">
      <c r="A50" s="6">
        <v>46281</v>
      </c>
      <c r="B50" t="s">
        <v>16</v>
      </c>
      <c r="C50" s="9">
        <v>0.5416666666678793</v>
      </c>
      <c r="D50" s="9">
        <v>0.6041666666678793</v>
      </c>
      <c r="E50" s="7">
        <v>1.5</v>
      </c>
      <c r="F50" t="s">
        <v>32</v>
      </c>
      <c r="G50" t="s">
        <v>33</v>
      </c>
      <c r="H50" t="s">
        <v>29</v>
      </c>
      <c r="I50" t="s">
        <v>53</v>
      </c>
      <c r="J50" t="s">
        <v>40</v>
      </c>
      <c r="K50" t="s">
        <v>52</v>
      </c>
      <c r="L50" t="s">
        <v>15</v>
      </c>
    </row>
    <row r="51" spans="1:12" x14ac:dyDescent="0.25">
      <c r="A51" s="6">
        <v>46281</v>
      </c>
      <c r="B51" t="s">
        <v>16</v>
      </c>
      <c r="C51" s="9">
        <v>0.6041666666678793</v>
      </c>
      <c r="D51" s="9">
        <v>0.65625</v>
      </c>
      <c r="E51" s="7">
        <v>1.25</v>
      </c>
      <c r="F51" t="s">
        <v>32</v>
      </c>
      <c r="G51" t="s">
        <v>33</v>
      </c>
      <c r="H51" t="s">
        <v>29</v>
      </c>
      <c r="I51" t="s">
        <v>55</v>
      </c>
      <c r="J51" t="s">
        <v>43</v>
      </c>
      <c r="K51" t="s">
        <v>52</v>
      </c>
      <c r="L51" t="s">
        <v>15</v>
      </c>
    </row>
    <row r="52" spans="1:12" x14ac:dyDescent="0.25">
      <c r="A52" s="6">
        <v>46281</v>
      </c>
      <c r="B52" t="s">
        <v>16</v>
      </c>
      <c r="C52" s="9">
        <v>0.65625</v>
      </c>
      <c r="D52" s="9">
        <v>0.6875</v>
      </c>
      <c r="E52" s="7">
        <v>0.75</v>
      </c>
      <c r="F52" t="s">
        <v>32</v>
      </c>
      <c r="G52" t="s">
        <v>33</v>
      </c>
      <c r="H52" t="s">
        <v>29</v>
      </c>
      <c r="I52" t="s">
        <v>53</v>
      </c>
      <c r="J52" t="s">
        <v>40</v>
      </c>
      <c r="K52" t="s">
        <v>52</v>
      </c>
      <c r="L52" t="s">
        <v>15</v>
      </c>
    </row>
    <row r="53" spans="1:12" x14ac:dyDescent="0.25">
      <c r="A53" s="6">
        <v>46282</v>
      </c>
      <c r="B53" t="s">
        <v>17</v>
      </c>
      <c r="C53" s="9">
        <v>0.3125</v>
      </c>
      <c r="D53" s="9">
        <v>0.4375</v>
      </c>
      <c r="E53" s="7">
        <v>3</v>
      </c>
      <c r="F53" t="s">
        <v>30</v>
      </c>
      <c r="G53" t="s">
        <v>31</v>
      </c>
      <c r="H53" t="s">
        <v>29</v>
      </c>
      <c r="I53" t="s">
        <v>53</v>
      </c>
      <c r="J53" t="s">
        <v>40</v>
      </c>
      <c r="K53" t="s">
        <v>52</v>
      </c>
      <c r="L53" t="s">
        <v>15</v>
      </c>
    </row>
    <row r="54" spans="1:12" x14ac:dyDescent="0.25">
      <c r="A54" s="6">
        <v>46282</v>
      </c>
      <c r="B54" t="s">
        <v>17</v>
      </c>
      <c r="C54" s="9">
        <v>0.4375</v>
      </c>
      <c r="D54" s="9">
        <v>0.5</v>
      </c>
      <c r="E54" s="7">
        <v>1.5</v>
      </c>
      <c r="F54" t="s">
        <v>32</v>
      </c>
      <c r="G54" t="s">
        <v>33</v>
      </c>
      <c r="H54" t="s">
        <v>29</v>
      </c>
      <c r="I54" t="s">
        <v>51</v>
      </c>
      <c r="J54" t="s">
        <v>41</v>
      </c>
      <c r="K54" t="s">
        <v>52</v>
      </c>
      <c r="L54" t="s">
        <v>15</v>
      </c>
    </row>
    <row r="55" spans="1:12" x14ac:dyDescent="0.25">
      <c r="A55" s="6">
        <v>46282</v>
      </c>
      <c r="B55" t="s">
        <v>17</v>
      </c>
      <c r="C55" s="9">
        <v>0.5416666666678793</v>
      </c>
      <c r="D55" s="9">
        <v>0.6770833333321207</v>
      </c>
      <c r="E55" s="7">
        <v>3.25</v>
      </c>
      <c r="F55" t="s">
        <v>36</v>
      </c>
      <c r="G55" t="s">
        <v>37</v>
      </c>
      <c r="H55" t="s">
        <v>38</v>
      </c>
      <c r="I55" t="s">
        <v>51</v>
      </c>
      <c r="J55" t="s">
        <v>41</v>
      </c>
      <c r="K55" t="s">
        <v>52</v>
      </c>
      <c r="L55" t="s">
        <v>57</v>
      </c>
    </row>
    <row r="56" spans="1:12" x14ac:dyDescent="0.25">
      <c r="A56" s="6">
        <v>46282</v>
      </c>
      <c r="B56" t="s">
        <v>17</v>
      </c>
      <c r="C56" s="9">
        <v>0.5625</v>
      </c>
      <c r="D56" s="9">
        <v>0.625</v>
      </c>
      <c r="E56" s="7">
        <v>1.5</v>
      </c>
      <c r="F56" t="s">
        <v>32</v>
      </c>
      <c r="G56" t="s">
        <v>33</v>
      </c>
      <c r="H56" t="s">
        <v>29</v>
      </c>
      <c r="I56" t="s">
        <v>55</v>
      </c>
      <c r="J56" t="s">
        <v>43</v>
      </c>
      <c r="K56" t="s">
        <v>52</v>
      </c>
      <c r="L56" t="s">
        <v>57</v>
      </c>
    </row>
    <row r="57" spans="1:12" x14ac:dyDescent="0.25">
      <c r="A57" s="6">
        <v>46283</v>
      </c>
      <c r="B57" t="s">
        <v>18</v>
      </c>
      <c r="C57" s="9">
        <v>0.3125</v>
      </c>
      <c r="D57" s="9">
        <v>0.4166666666678793</v>
      </c>
      <c r="E57" s="7">
        <v>2.5</v>
      </c>
      <c r="F57" t="s">
        <v>36</v>
      </c>
      <c r="G57" t="s">
        <v>37</v>
      </c>
      <c r="H57" t="s">
        <v>38</v>
      </c>
      <c r="I57" t="s">
        <v>53</v>
      </c>
      <c r="J57" t="s">
        <v>40</v>
      </c>
      <c r="K57" t="s">
        <v>52</v>
      </c>
      <c r="L57" t="s">
        <v>15</v>
      </c>
    </row>
    <row r="58" spans="1:12" x14ac:dyDescent="0.25">
      <c r="A58" s="6">
        <v>46283</v>
      </c>
      <c r="B58" t="s">
        <v>18</v>
      </c>
      <c r="C58" s="9">
        <v>0.4166666666678793</v>
      </c>
      <c r="D58" s="9">
        <v>0.5</v>
      </c>
      <c r="E58" s="7">
        <v>2</v>
      </c>
      <c r="F58" t="s">
        <v>36</v>
      </c>
      <c r="G58" t="s">
        <v>37</v>
      </c>
      <c r="H58" t="s">
        <v>38</v>
      </c>
      <c r="I58" t="s">
        <v>51</v>
      </c>
      <c r="J58" t="s">
        <v>41</v>
      </c>
      <c r="K58" t="s">
        <v>52</v>
      </c>
      <c r="L58" t="s">
        <v>15</v>
      </c>
    </row>
    <row r="59" spans="1:12" x14ac:dyDescent="0.25">
      <c r="A59" s="6">
        <v>46283</v>
      </c>
      <c r="B59" t="s">
        <v>18</v>
      </c>
      <c r="C59" s="9">
        <v>0.5416666666678793</v>
      </c>
      <c r="D59" s="9">
        <v>0.59375</v>
      </c>
      <c r="E59" s="7">
        <v>1.25</v>
      </c>
      <c r="F59" t="s">
        <v>32</v>
      </c>
      <c r="G59" t="s">
        <v>33</v>
      </c>
      <c r="H59" t="s">
        <v>29</v>
      </c>
      <c r="I59" t="s">
        <v>51</v>
      </c>
      <c r="J59" t="s">
        <v>41</v>
      </c>
      <c r="K59" t="s">
        <v>52</v>
      </c>
      <c r="L59" t="s">
        <v>15</v>
      </c>
    </row>
    <row r="60" spans="1:12" x14ac:dyDescent="0.25">
      <c r="A60" s="6">
        <v>46283</v>
      </c>
      <c r="B60" t="s">
        <v>18</v>
      </c>
      <c r="C60" s="9">
        <v>0.59375</v>
      </c>
      <c r="D60" s="9">
        <v>0.8333333333321207</v>
      </c>
      <c r="E60" s="7">
        <v>5.75</v>
      </c>
      <c r="F60" t="s">
        <v>32</v>
      </c>
      <c r="G60" t="s">
        <v>33</v>
      </c>
      <c r="H60" t="s">
        <v>29</v>
      </c>
      <c r="I60" t="s">
        <v>53</v>
      </c>
      <c r="J60" t="s">
        <v>40</v>
      </c>
      <c r="K60" t="s">
        <v>52</v>
      </c>
      <c r="L60" t="s">
        <v>20</v>
      </c>
    </row>
    <row r="61" spans="1:12" x14ac:dyDescent="0.25">
      <c r="A61" s="6">
        <v>46284</v>
      </c>
      <c r="B61" t="s">
        <v>21</v>
      </c>
      <c r="C61" s="9">
        <v>0.3125</v>
      </c>
      <c r="D61" s="9">
        <v>0.3958333333321207</v>
      </c>
      <c r="E61" s="7">
        <v>2</v>
      </c>
      <c r="F61" t="s">
        <v>30</v>
      </c>
      <c r="G61" t="s">
        <v>31</v>
      </c>
      <c r="H61" t="s">
        <v>29</v>
      </c>
      <c r="I61" t="s">
        <v>55</v>
      </c>
      <c r="J61" t="s">
        <v>43</v>
      </c>
      <c r="K61" t="s">
        <v>52</v>
      </c>
      <c r="L61" t="s">
        <v>15</v>
      </c>
    </row>
    <row r="62" spans="1:12" x14ac:dyDescent="0.25">
      <c r="A62" s="6">
        <v>46284</v>
      </c>
      <c r="B62" t="s">
        <v>21</v>
      </c>
      <c r="C62" s="9">
        <v>0.3958333333321207</v>
      </c>
      <c r="D62" s="9">
        <v>0.4583333333321207</v>
      </c>
      <c r="E62" s="7">
        <v>1.5</v>
      </c>
      <c r="F62" t="s">
        <v>30</v>
      </c>
      <c r="G62" t="s">
        <v>31</v>
      </c>
      <c r="H62" t="s">
        <v>29</v>
      </c>
      <c r="I62" t="s">
        <v>56</v>
      </c>
      <c r="J62" t="s">
        <v>42</v>
      </c>
      <c r="K62" t="s">
        <v>52</v>
      </c>
      <c r="L62" t="s">
        <v>15</v>
      </c>
    </row>
    <row r="63" spans="1:12" x14ac:dyDescent="0.25">
      <c r="A63" s="6">
        <v>46286</v>
      </c>
      <c r="B63" t="s">
        <v>19</v>
      </c>
      <c r="C63" s="9">
        <v>0.3194444444452529</v>
      </c>
      <c r="D63" s="9">
        <v>0.40277777777737356</v>
      </c>
      <c r="E63" s="7">
        <v>2</v>
      </c>
      <c r="F63" t="s">
        <v>30</v>
      </c>
      <c r="G63" t="s">
        <v>31</v>
      </c>
      <c r="H63" t="s">
        <v>29</v>
      </c>
      <c r="I63" t="s">
        <v>53</v>
      </c>
      <c r="J63" t="s">
        <v>40</v>
      </c>
      <c r="K63" t="s">
        <v>52</v>
      </c>
      <c r="L63" t="s">
        <v>15</v>
      </c>
    </row>
    <row r="64" spans="1:12" x14ac:dyDescent="0.25">
      <c r="A64" s="6">
        <v>46286</v>
      </c>
      <c r="B64" t="s">
        <v>19</v>
      </c>
      <c r="C64" s="9">
        <v>0.40277777777737356</v>
      </c>
      <c r="D64" s="9">
        <v>0.5</v>
      </c>
      <c r="E64" s="7">
        <v>2.3333333333333335</v>
      </c>
      <c r="F64" t="s">
        <v>30</v>
      </c>
      <c r="G64" t="s">
        <v>31</v>
      </c>
      <c r="H64" t="s">
        <v>29</v>
      </c>
      <c r="I64" t="s">
        <v>56</v>
      </c>
      <c r="J64" t="s">
        <v>42</v>
      </c>
      <c r="K64" t="s">
        <v>52</v>
      </c>
      <c r="L64" t="s">
        <v>15</v>
      </c>
    </row>
    <row r="65" spans="1:12" x14ac:dyDescent="0.25">
      <c r="A65" s="6">
        <v>46286</v>
      </c>
      <c r="B65" t="s">
        <v>19</v>
      </c>
      <c r="C65" s="9">
        <v>0.5416666666678793</v>
      </c>
      <c r="D65" s="9">
        <v>0.5833333333321207</v>
      </c>
      <c r="E65" s="7">
        <v>1</v>
      </c>
      <c r="F65" t="s">
        <v>32</v>
      </c>
      <c r="G65" t="s">
        <v>33</v>
      </c>
      <c r="H65" t="s">
        <v>29</v>
      </c>
      <c r="I65" t="s">
        <v>53</v>
      </c>
      <c r="J65" t="s">
        <v>40</v>
      </c>
      <c r="K65" t="s">
        <v>52</v>
      </c>
      <c r="L65" t="s">
        <v>15</v>
      </c>
    </row>
    <row r="66" spans="1:12" x14ac:dyDescent="0.25">
      <c r="A66" s="6">
        <v>46286</v>
      </c>
      <c r="B66" t="s">
        <v>19</v>
      </c>
      <c r="C66" s="9">
        <v>0.5833333333321207</v>
      </c>
      <c r="D66" s="9">
        <v>0.6979166666678793</v>
      </c>
      <c r="E66" s="7">
        <v>2.75</v>
      </c>
      <c r="F66" t="s">
        <v>30</v>
      </c>
      <c r="G66" t="s">
        <v>31</v>
      </c>
      <c r="H66" t="s">
        <v>29</v>
      </c>
      <c r="I66" t="s">
        <v>53</v>
      </c>
      <c r="J66" t="s">
        <v>40</v>
      </c>
      <c r="K66" t="s">
        <v>52</v>
      </c>
      <c r="L66" t="s">
        <v>15</v>
      </c>
    </row>
    <row r="67" spans="1:12" x14ac:dyDescent="0.25">
      <c r="A67" s="6">
        <v>46287</v>
      </c>
      <c r="B67" t="s">
        <v>14</v>
      </c>
      <c r="C67" s="9">
        <v>0.3125</v>
      </c>
      <c r="D67" s="9">
        <v>0.4375</v>
      </c>
      <c r="E67" s="7">
        <v>3</v>
      </c>
      <c r="F67" t="s">
        <v>30</v>
      </c>
      <c r="G67" t="s">
        <v>31</v>
      </c>
      <c r="H67" t="s">
        <v>29</v>
      </c>
      <c r="I67" t="s">
        <v>55</v>
      </c>
      <c r="J67" t="s">
        <v>43</v>
      </c>
      <c r="K67" t="s">
        <v>52</v>
      </c>
      <c r="L67" t="s">
        <v>15</v>
      </c>
    </row>
    <row r="68" spans="1:12" x14ac:dyDescent="0.25">
      <c r="A68" s="6">
        <v>46287</v>
      </c>
      <c r="B68" t="s">
        <v>14</v>
      </c>
      <c r="C68" s="9">
        <v>0.4375</v>
      </c>
      <c r="D68" s="9">
        <v>0.5</v>
      </c>
      <c r="E68" s="7">
        <v>1.5</v>
      </c>
      <c r="F68" t="s">
        <v>30</v>
      </c>
      <c r="G68" t="s">
        <v>31</v>
      </c>
      <c r="H68" t="s">
        <v>29</v>
      </c>
      <c r="I68" t="s">
        <v>53</v>
      </c>
      <c r="J68" t="s">
        <v>40</v>
      </c>
      <c r="K68" t="s">
        <v>52</v>
      </c>
      <c r="L68" t="s">
        <v>15</v>
      </c>
    </row>
    <row r="69" spans="1:12" x14ac:dyDescent="0.25">
      <c r="A69" s="6">
        <v>46287</v>
      </c>
      <c r="B69" t="s">
        <v>14</v>
      </c>
      <c r="C69" s="9">
        <v>0.5416666666678793</v>
      </c>
      <c r="D69" s="9">
        <v>0.59375</v>
      </c>
      <c r="E69" s="7">
        <v>1.25</v>
      </c>
      <c r="F69" t="s">
        <v>32</v>
      </c>
      <c r="G69" t="s">
        <v>33</v>
      </c>
      <c r="H69" t="s">
        <v>29</v>
      </c>
      <c r="I69" t="s">
        <v>51</v>
      </c>
      <c r="J69" t="s">
        <v>41</v>
      </c>
      <c r="K69" t="s">
        <v>52</v>
      </c>
      <c r="L69" t="s">
        <v>15</v>
      </c>
    </row>
    <row r="70" spans="1:12" x14ac:dyDescent="0.25">
      <c r="A70" s="6">
        <v>46287</v>
      </c>
      <c r="B70" t="s">
        <v>14</v>
      </c>
      <c r="C70" s="9">
        <v>0.59375</v>
      </c>
      <c r="D70" s="9">
        <v>0.65625</v>
      </c>
      <c r="E70" s="7">
        <v>1.5</v>
      </c>
      <c r="F70" t="s">
        <v>30</v>
      </c>
      <c r="G70" t="s">
        <v>31</v>
      </c>
      <c r="H70" t="s">
        <v>29</v>
      </c>
      <c r="I70" t="s">
        <v>56</v>
      </c>
      <c r="J70" t="s">
        <v>42</v>
      </c>
      <c r="K70" t="s">
        <v>52</v>
      </c>
      <c r="L70" t="s">
        <v>15</v>
      </c>
    </row>
    <row r="71" spans="1:12" x14ac:dyDescent="0.25">
      <c r="A71" s="6">
        <v>46287</v>
      </c>
      <c r="B71" t="s">
        <v>14</v>
      </c>
      <c r="C71" s="9">
        <v>0.65625</v>
      </c>
      <c r="D71" s="9">
        <v>0.6979166666678793</v>
      </c>
      <c r="E71" s="7">
        <v>1</v>
      </c>
      <c r="F71" t="s">
        <v>32</v>
      </c>
      <c r="G71" t="s">
        <v>33</v>
      </c>
      <c r="H71" t="s">
        <v>29</v>
      </c>
      <c r="I71" t="s">
        <v>55</v>
      </c>
      <c r="J71" t="s">
        <v>43</v>
      </c>
      <c r="K71" t="s">
        <v>52</v>
      </c>
      <c r="L71" t="s">
        <v>15</v>
      </c>
    </row>
    <row r="72" spans="1:12" x14ac:dyDescent="0.25">
      <c r="A72" s="6">
        <v>46288</v>
      </c>
      <c r="B72" t="s">
        <v>16</v>
      </c>
      <c r="C72" s="9">
        <v>0.3125</v>
      </c>
      <c r="D72" s="9">
        <v>0.4166666666678793</v>
      </c>
      <c r="E72" s="7">
        <v>2.5</v>
      </c>
      <c r="F72" t="s">
        <v>34</v>
      </c>
      <c r="G72" t="s">
        <v>35</v>
      </c>
      <c r="H72" t="s">
        <v>29</v>
      </c>
      <c r="I72" t="s">
        <v>56</v>
      </c>
      <c r="J72" t="s">
        <v>42</v>
      </c>
      <c r="K72" t="s">
        <v>52</v>
      </c>
      <c r="L72" t="s">
        <v>15</v>
      </c>
    </row>
    <row r="73" spans="1:12" x14ac:dyDescent="0.25">
      <c r="A73" s="6">
        <v>46288</v>
      </c>
      <c r="B73" t="s">
        <v>16</v>
      </c>
      <c r="C73" s="9">
        <v>0.4166666666678793</v>
      </c>
      <c r="D73" s="9">
        <v>0.4583333333321207</v>
      </c>
      <c r="E73" s="7">
        <v>1</v>
      </c>
      <c r="F73" t="s">
        <v>30</v>
      </c>
      <c r="G73" t="s">
        <v>31</v>
      </c>
      <c r="H73" t="s">
        <v>29</v>
      </c>
      <c r="I73" t="s">
        <v>56</v>
      </c>
      <c r="J73" t="s">
        <v>42</v>
      </c>
      <c r="K73" t="s">
        <v>52</v>
      </c>
      <c r="L73" t="s">
        <v>15</v>
      </c>
    </row>
    <row r="74" spans="1:12" x14ac:dyDescent="0.25">
      <c r="A74" s="6">
        <v>46288</v>
      </c>
      <c r="B74" t="s">
        <v>16</v>
      </c>
      <c r="C74" s="9">
        <v>0.4583333333321207</v>
      </c>
      <c r="D74" s="9">
        <v>0.5</v>
      </c>
      <c r="E74" s="7">
        <v>1</v>
      </c>
      <c r="F74" t="s">
        <v>30</v>
      </c>
      <c r="G74" t="s">
        <v>31</v>
      </c>
      <c r="H74" t="s">
        <v>29</v>
      </c>
      <c r="I74" t="s">
        <v>55</v>
      </c>
      <c r="J74" t="s">
        <v>43</v>
      </c>
      <c r="K74" t="s">
        <v>52</v>
      </c>
      <c r="L74" t="s">
        <v>15</v>
      </c>
    </row>
    <row r="75" spans="1:12" x14ac:dyDescent="0.25">
      <c r="A75" s="6">
        <v>46288</v>
      </c>
      <c r="B75" t="s">
        <v>16</v>
      </c>
      <c r="C75" s="9">
        <v>0.5416666666678793</v>
      </c>
      <c r="D75" s="9">
        <v>0.59375</v>
      </c>
      <c r="E75" s="7">
        <v>1.25</v>
      </c>
      <c r="F75" t="s">
        <v>34</v>
      </c>
      <c r="G75" t="s">
        <v>35</v>
      </c>
      <c r="H75" t="s">
        <v>29</v>
      </c>
      <c r="I75" t="s">
        <v>53</v>
      </c>
      <c r="J75" t="s">
        <v>40</v>
      </c>
      <c r="K75" t="s">
        <v>52</v>
      </c>
      <c r="L75" t="s">
        <v>15</v>
      </c>
    </row>
    <row r="76" spans="1:12" x14ac:dyDescent="0.25">
      <c r="A76" s="6">
        <v>46288</v>
      </c>
      <c r="B76" t="s">
        <v>16</v>
      </c>
      <c r="C76" s="9">
        <v>0.59375</v>
      </c>
      <c r="D76" s="9">
        <v>0.6666666666678793</v>
      </c>
      <c r="E76" s="7">
        <v>1.75</v>
      </c>
      <c r="F76" t="s">
        <v>30</v>
      </c>
      <c r="G76" t="s">
        <v>31</v>
      </c>
      <c r="H76" t="s">
        <v>29</v>
      </c>
      <c r="I76" t="s">
        <v>53</v>
      </c>
      <c r="J76" t="s">
        <v>40</v>
      </c>
      <c r="K76" t="s">
        <v>52</v>
      </c>
      <c r="L76" t="s">
        <v>15</v>
      </c>
    </row>
    <row r="77" spans="1:12" x14ac:dyDescent="0.25">
      <c r="A77" s="6">
        <v>46289</v>
      </c>
      <c r="B77" t="s">
        <v>17</v>
      </c>
      <c r="C77" s="9">
        <v>0.3125</v>
      </c>
      <c r="D77" s="9">
        <v>0.3645833333321207</v>
      </c>
      <c r="E77" s="7">
        <v>1.25</v>
      </c>
      <c r="F77" t="s">
        <v>30</v>
      </c>
      <c r="G77" t="s">
        <v>31</v>
      </c>
      <c r="H77" t="s">
        <v>29</v>
      </c>
      <c r="I77" t="s">
        <v>55</v>
      </c>
      <c r="J77" t="s">
        <v>43</v>
      </c>
      <c r="K77" t="s">
        <v>52</v>
      </c>
      <c r="L77" t="s">
        <v>15</v>
      </c>
    </row>
    <row r="78" spans="1:12" x14ac:dyDescent="0.25">
      <c r="A78" s="6">
        <v>46289</v>
      </c>
      <c r="B78" t="s">
        <v>17</v>
      </c>
      <c r="C78" s="9">
        <v>0.3645833333321207</v>
      </c>
      <c r="D78" s="9">
        <v>0.4479166666678793</v>
      </c>
      <c r="E78" s="7">
        <v>2</v>
      </c>
      <c r="F78" t="s">
        <v>30</v>
      </c>
      <c r="G78" t="s">
        <v>31</v>
      </c>
      <c r="H78" t="s">
        <v>29</v>
      </c>
      <c r="I78" t="s">
        <v>56</v>
      </c>
      <c r="J78" t="s">
        <v>42</v>
      </c>
      <c r="K78" t="s">
        <v>52</v>
      </c>
      <c r="L78" t="s">
        <v>15</v>
      </c>
    </row>
    <row r="79" spans="1:12" x14ac:dyDescent="0.25">
      <c r="A79" s="6">
        <v>46289</v>
      </c>
      <c r="B79" t="s">
        <v>17</v>
      </c>
      <c r="C79" s="9">
        <v>0.4479166666678793</v>
      </c>
      <c r="D79" s="9">
        <v>0.5</v>
      </c>
      <c r="E79" s="7">
        <v>1.25</v>
      </c>
      <c r="F79" t="s">
        <v>30</v>
      </c>
      <c r="G79" t="s">
        <v>31</v>
      </c>
      <c r="H79" t="s">
        <v>29</v>
      </c>
      <c r="I79" t="s">
        <v>53</v>
      </c>
      <c r="J79" t="s">
        <v>40</v>
      </c>
      <c r="K79" t="s">
        <v>52</v>
      </c>
      <c r="L79" t="s">
        <v>15</v>
      </c>
    </row>
    <row r="80" spans="1:12" x14ac:dyDescent="0.25">
      <c r="A80" s="6">
        <v>46289</v>
      </c>
      <c r="B80" t="s">
        <v>17</v>
      </c>
      <c r="C80" s="9">
        <v>0.5416666666678793</v>
      </c>
      <c r="D80" s="9">
        <v>0.6041666666678793</v>
      </c>
      <c r="E80" s="7">
        <v>1.5</v>
      </c>
      <c r="F80" t="s">
        <v>30</v>
      </c>
      <c r="G80" t="s">
        <v>31</v>
      </c>
      <c r="H80" t="s">
        <v>29</v>
      </c>
      <c r="I80" t="s">
        <v>53</v>
      </c>
      <c r="J80" t="s">
        <v>40</v>
      </c>
      <c r="K80" t="s">
        <v>52</v>
      </c>
      <c r="L80" t="s">
        <v>15</v>
      </c>
    </row>
    <row r="81" spans="1:12" x14ac:dyDescent="0.25">
      <c r="A81" s="6">
        <v>46289</v>
      </c>
      <c r="B81" t="s">
        <v>17</v>
      </c>
      <c r="C81" s="9">
        <v>0.6041666666678793</v>
      </c>
      <c r="D81" s="9">
        <v>0.6666666666678793</v>
      </c>
      <c r="E81" s="7">
        <v>1.5</v>
      </c>
      <c r="F81" t="s">
        <v>30</v>
      </c>
      <c r="G81" t="s">
        <v>31</v>
      </c>
      <c r="H81" t="s">
        <v>29</v>
      </c>
      <c r="I81" t="s">
        <v>56</v>
      </c>
      <c r="J81" t="s">
        <v>42</v>
      </c>
      <c r="K81" t="s">
        <v>52</v>
      </c>
      <c r="L81" t="s">
        <v>15</v>
      </c>
    </row>
    <row r="82" spans="1:12" x14ac:dyDescent="0.25">
      <c r="A82" s="6">
        <v>46290</v>
      </c>
      <c r="B82" t="s">
        <v>18</v>
      </c>
      <c r="C82" s="9">
        <v>0.3194444444452529</v>
      </c>
      <c r="D82" s="9">
        <v>0.40277777777737356</v>
      </c>
      <c r="E82" s="7">
        <v>2</v>
      </c>
      <c r="F82" t="s">
        <v>34</v>
      </c>
      <c r="G82" t="s">
        <v>35</v>
      </c>
      <c r="H82" t="s">
        <v>29</v>
      </c>
      <c r="I82" t="s">
        <v>56</v>
      </c>
      <c r="J82" t="s">
        <v>42</v>
      </c>
      <c r="K82" t="s">
        <v>52</v>
      </c>
      <c r="L82" t="s">
        <v>15</v>
      </c>
    </row>
    <row r="83" spans="1:12" x14ac:dyDescent="0.25">
      <c r="A83" s="6">
        <v>46290</v>
      </c>
      <c r="B83" t="s">
        <v>18</v>
      </c>
      <c r="C83" s="9">
        <v>0.40277777777737356</v>
      </c>
      <c r="D83" s="9">
        <v>0.5</v>
      </c>
      <c r="E83" s="7">
        <v>2.3333333333333335</v>
      </c>
      <c r="F83" t="s">
        <v>30</v>
      </c>
      <c r="G83" t="s">
        <v>31</v>
      </c>
      <c r="H83" t="s">
        <v>29</v>
      </c>
      <c r="I83" t="s">
        <v>53</v>
      </c>
      <c r="J83" t="s">
        <v>40</v>
      </c>
      <c r="K83" t="s">
        <v>52</v>
      </c>
      <c r="L83" t="s">
        <v>15</v>
      </c>
    </row>
    <row r="84" spans="1:12" x14ac:dyDescent="0.25">
      <c r="A84" s="6">
        <v>46290</v>
      </c>
      <c r="B84" t="s">
        <v>18</v>
      </c>
      <c r="C84" s="9">
        <v>0.5416666666678793</v>
      </c>
      <c r="D84" s="9">
        <v>0.5833333333321207</v>
      </c>
      <c r="E84" s="7">
        <v>1</v>
      </c>
      <c r="F84" t="s">
        <v>30</v>
      </c>
      <c r="G84" t="s">
        <v>31</v>
      </c>
      <c r="H84" t="s">
        <v>29</v>
      </c>
      <c r="I84" t="s">
        <v>55</v>
      </c>
      <c r="J84" t="s">
        <v>43</v>
      </c>
      <c r="K84" t="s">
        <v>54</v>
      </c>
      <c r="L84" t="s">
        <v>15</v>
      </c>
    </row>
    <row r="85" spans="1:12" x14ac:dyDescent="0.25">
      <c r="A85" s="6">
        <v>46290</v>
      </c>
      <c r="B85" t="s">
        <v>18</v>
      </c>
      <c r="C85" s="9">
        <v>0.5833333333321207</v>
      </c>
      <c r="D85" s="9">
        <v>0.6666666666678793</v>
      </c>
      <c r="E85" s="7">
        <v>2</v>
      </c>
      <c r="F85" t="s">
        <v>30</v>
      </c>
      <c r="G85" t="s">
        <v>31</v>
      </c>
      <c r="H85" t="s">
        <v>29</v>
      </c>
      <c r="I85" t="s">
        <v>53</v>
      </c>
      <c r="J85" t="s">
        <v>40</v>
      </c>
      <c r="K85" t="s">
        <v>52</v>
      </c>
      <c r="L85" t="s">
        <v>15</v>
      </c>
    </row>
    <row r="86" spans="1:12" x14ac:dyDescent="0.25">
      <c r="A86" s="6">
        <v>46293</v>
      </c>
      <c r="B86" t="s">
        <v>19</v>
      </c>
      <c r="C86" s="9">
        <v>0.3194444444452529</v>
      </c>
      <c r="D86" s="9">
        <v>0.3819444444452529</v>
      </c>
      <c r="E86" s="7">
        <v>1.5</v>
      </c>
      <c r="F86" t="s">
        <v>34</v>
      </c>
      <c r="G86" t="s">
        <v>35</v>
      </c>
      <c r="H86" t="s">
        <v>29</v>
      </c>
      <c r="I86" t="s">
        <v>53</v>
      </c>
      <c r="J86" t="s">
        <v>40</v>
      </c>
      <c r="K86" t="s">
        <v>52</v>
      </c>
      <c r="L86" t="s">
        <v>15</v>
      </c>
    </row>
    <row r="87" spans="1:12" x14ac:dyDescent="0.25">
      <c r="A87" s="6">
        <v>46293</v>
      </c>
      <c r="B87" t="s">
        <v>19</v>
      </c>
      <c r="C87" s="9">
        <v>0.3819444444452529</v>
      </c>
      <c r="D87" s="9">
        <v>0.43402777777737356</v>
      </c>
      <c r="E87" s="7">
        <v>1.25</v>
      </c>
      <c r="F87" t="s">
        <v>34</v>
      </c>
      <c r="G87" t="s">
        <v>35</v>
      </c>
      <c r="H87" t="s">
        <v>29</v>
      </c>
      <c r="I87" t="s">
        <v>56</v>
      </c>
      <c r="J87" t="s">
        <v>42</v>
      </c>
      <c r="K87" t="s">
        <v>52</v>
      </c>
      <c r="L87" t="s">
        <v>15</v>
      </c>
    </row>
    <row r="88" spans="1:12" x14ac:dyDescent="0.25">
      <c r="A88" s="6">
        <v>46293</v>
      </c>
      <c r="B88" t="s">
        <v>19</v>
      </c>
      <c r="C88" s="9">
        <v>0.43402777777737356</v>
      </c>
      <c r="D88" s="9">
        <v>0.4756944444452529</v>
      </c>
      <c r="E88" s="7">
        <v>1</v>
      </c>
      <c r="F88" t="s">
        <v>34</v>
      </c>
      <c r="G88" t="s">
        <v>35</v>
      </c>
      <c r="H88" t="s">
        <v>29</v>
      </c>
      <c r="I88" t="s">
        <v>56</v>
      </c>
      <c r="J88" t="s">
        <v>42</v>
      </c>
      <c r="K88" t="s">
        <v>52</v>
      </c>
      <c r="L88" t="s">
        <v>15</v>
      </c>
    </row>
    <row r="89" spans="1:12" x14ac:dyDescent="0.25">
      <c r="A89" s="6">
        <v>46293</v>
      </c>
      <c r="B89" t="s">
        <v>19</v>
      </c>
      <c r="C89" s="9">
        <v>0.4756944444452529</v>
      </c>
      <c r="D89" s="9">
        <v>0.5</v>
      </c>
      <c r="E89" s="7">
        <v>0.5833333333333334</v>
      </c>
      <c r="F89" t="s">
        <v>34</v>
      </c>
      <c r="G89" t="s">
        <v>35</v>
      </c>
      <c r="H89" t="s">
        <v>29</v>
      </c>
      <c r="I89" t="s">
        <v>56</v>
      </c>
      <c r="J89" t="s">
        <v>42</v>
      </c>
      <c r="K89" t="s">
        <v>52</v>
      </c>
      <c r="L89" t="s">
        <v>15</v>
      </c>
    </row>
    <row r="90" spans="1:12" x14ac:dyDescent="0.25">
      <c r="A90" s="6">
        <v>46293</v>
      </c>
      <c r="B90" t="s">
        <v>19</v>
      </c>
      <c r="C90" s="9">
        <v>0.5416666666678793</v>
      </c>
      <c r="D90" s="9">
        <v>0.6041666666678793</v>
      </c>
      <c r="E90" s="7">
        <v>1.5</v>
      </c>
      <c r="F90" t="s">
        <v>34</v>
      </c>
      <c r="G90" t="s">
        <v>35</v>
      </c>
      <c r="H90" t="s">
        <v>29</v>
      </c>
      <c r="I90" t="s">
        <v>51</v>
      </c>
      <c r="J90" t="s">
        <v>41</v>
      </c>
      <c r="K90" t="s">
        <v>52</v>
      </c>
      <c r="L90" t="s">
        <v>15</v>
      </c>
    </row>
    <row r="91" spans="1:12" x14ac:dyDescent="0.25">
      <c r="A91" s="6">
        <v>46293</v>
      </c>
      <c r="B91" t="s">
        <v>19</v>
      </c>
      <c r="C91" s="9">
        <v>0.6041666666678793</v>
      </c>
      <c r="D91" s="9">
        <v>0.6875</v>
      </c>
      <c r="E91" s="7">
        <v>2</v>
      </c>
      <c r="F91" t="s">
        <v>34</v>
      </c>
      <c r="G91" t="s">
        <v>35</v>
      </c>
      <c r="H91" t="s">
        <v>29</v>
      </c>
      <c r="I91" t="s">
        <v>56</v>
      </c>
      <c r="J91" t="s">
        <v>42</v>
      </c>
      <c r="K91" t="s">
        <v>52</v>
      </c>
      <c r="L91" t="s">
        <v>15</v>
      </c>
    </row>
    <row r="92" spans="1:12" x14ac:dyDescent="0.25">
      <c r="A92" s="6">
        <v>46295</v>
      </c>
      <c r="B92" t="s">
        <v>16</v>
      </c>
      <c r="C92" s="9">
        <v>0.3125</v>
      </c>
      <c r="D92" s="9">
        <v>0.3958333333321207</v>
      </c>
      <c r="E92" s="7">
        <v>2</v>
      </c>
      <c r="F92" t="s">
        <v>30</v>
      </c>
      <c r="G92" t="s">
        <v>31</v>
      </c>
      <c r="H92" t="s">
        <v>29</v>
      </c>
      <c r="I92" t="s">
        <v>55</v>
      </c>
      <c r="J92" t="s">
        <v>43</v>
      </c>
      <c r="K92" t="s">
        <v>52</v>
      </c>
      <c r="L92" t="s">
        <v>15</v>
      </c>
    </row>
    <row r="93" spans="1:12" x14ac:dyDescent="0.25">
      <c r="A93" s="6">
        <v>46295</v>
      </c>
      <c r="B93" t="s">
        <v>16</v>
      </c>
      <c r="C93" s="9">
        <v>0.3958333333321207</v>
      </c>
      <c r="D93" s="9">
        <v>0.4375</v>
      </c>
      <c r="E93" s="7">
        <v>1</v>
      </c>
      <c r="F93" t="s">
        <v>30</v>
      </c>
      <c r="G93" t="s">
        <v>31</v>
      </c>
      <c r="H93" t="s">
        <v>29</v>
      </c>
      <c r="I93" t="s">
        <v>53</v>
      </c>
      <c r="J93" t="s">
        <v>40</v>
      </c>
      <c r="K93" t="s">
        <v>52</v>
      </c>
      <c r="L93" t="s">
        <v>15</v>
      </c>
    </row>
    <row r="94" spans="1:12" x14ac:dyDescent="0.25">
      <c r="A94" s="6">
        <v>46295</v>
      </c>
      <c r="B94" t="s">
        <v>16</v>
      </c>
      <c r="C94" s="9">
        <v>0.4375</v>
      </c>
      <c r="D94" s="9">
        <v>0.5</v>
      </c>
      <c r="E94" s="7">
        <v>1.5</v>
      </c>
      <c r="F94" t="s">
        <v>30</v>
      </c>
      <c r="G94" t="s">
        <v>31</v>
      </c>
      <c r="H94" t="s">
        <v>29</v>
      </c>
      <c r="I94" t="s">
        <v>56</v>
      </c>
      <c r="J94" t="s">
        <v>42</v>
      </c>
      <c r="K94" t="s">
        <v>52</v>
      </c>
      <c r="L94" t="s">
        <v>15</v>
      </c>
    </row>
    <row r="95" spans="1:12" x14ac:dyDescent="0.25">
      <c r="A95" s="6">
        <v>46295</v>
      </c>
      <c r="B95" t="s">
        <v>16</v>
      </c>
      <c r="C95" s="9">
        <v>0.5416666666678793</v>
      </c>
      <c r="D95" s="9">
        <v>0.6770833333321207</v>
      </c>
      <c r="E95" s="7">
        <v>3.25</v>
      </c>
      <c r="F95" t="s">
        <v>30</v>
      </c>
      <c r="G95" t="s">
        <v>31</v>
      </c>
      <c r="H95" t="s">
        <v>29</v>
      </c>
      <c r="I95" t="s">
        <v>53</v>
      </c>
      <c r="J95" t="s">
        <v>40</v>
      </c>
      <c r="K95" t="s">
        <v>52</v>
      </c>
      <c r="L9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Synthèse</vt:lpstr>
      <vt:lpstr>Pointages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GLM</dc:creator>
  <dc:title/>
  <dc:subject/>
  <dc:description/>
  <cp:keywords/>
  <cp:category/>
  <cp:lastModifiedBy>Unknown</cp:lastModifiedBy>
  <dcterms:created xsi:type="dcterms:W3CDTF">2026-10-12T07:42:00Z</dcterms:created>
  <dcterms:modified xsi:type="dcterms:W3CDTF">2026-10-12T12:39:39Z</dcterms:modified>
</cp:coreProperties>
</file>