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ynthèse" state="visible" r:id="rId4"/>
    <sheet sheetId="2" name="Pointages" state="visible" r:id="rId5"/>
  </sheets>
  <calcPr calcId="171027"/>
</workbook>
</file>

<file path=xl/sharedStrings.xml><?xml version="1.0" encoding="utf-8"?>
<sst xmlns="http://schemas.openxmlformats.org/spreadsheetml/2006/main" count="57" uniqueCount="33">
  <si>
    <t>Coût de revient</t>
  </si>
  <si>
    <t>Élément</t>
  </si>
  <si>
    <t>OF · OF-2026-000187</t>
  </si>
  <si>
    <t>Statut</t>
  </si>
  <si>
    <t>OF terminé le 16 sept. 2026 à 17:05</t>
  </si>
  <si>
    <t>Généré le</t>
  </si>
  <si>
    <t>Logo et nom de l’entreprise</t>
  </si>
  <si>
    <t>à venir</t>
  </si>
  <si>
    <t>Nature</t>
  </si>
  <si>
    <t>Travail (h)</t>
  </si>
  <si>
    <t>Non-conformité (h)</t>
  </si>
  <si>
    <t>Temps total (h)</t>
  </si>
  <si>
    <t>Machine (€)</t>
  </si>
  <si>
    <t>Main d’œuvre (€)</t>
  </si>
  <si>
    <t>Total (€)</t>
  </si>
  <si>
    <t>Fraisage</t>
  </si>
  <si>
    <t>Polissage</t>
  </si>
  <si>
    <t>Sans poste</t>
  </si>
  <si>
    <t>Total</t>
  </si>
  <si>
    <t>Poste</t>
  </si>
  <si>
    <t>Opérateur</t>
  </si>
  <si>
    <t>Catégorie</t>
  </si>
  <si>
    <t>Début</t>
  </si>
  <si>
    <t>Fin</t>
  </si>
  <si>
    <t>Durée (h)</t>
  </si>
  <si>
    <t>DMG DMU 50</t>
  </si>
  <si>
    <t>Julien Martin</t>
  </si>
  <si>
    <t>Travail</t>
  </si>
  <si>
    <t>Haas VF-2</t>
  </si>
  <si>
    <t>Sophie Laurent</t>
  </si>
  <si>
    <t>Non-conformité</t>
  </si>
  <si>
    <t>Polisseuse P1</t>
  </si>
  <si>
    <t>Marc Petit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</si>
</sst>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yy hh:mm"/>
    <numFmt numFmtId="165" formatCode="#,##0.00 &quot;€&quot;"/>
  </numFmts>
  <fonts count="4" x14ac:knownFonts="1">
    <font>
      <color theme="1"/>
      <family val="2"/>
      <scheme val="minor"/>
      <sz val="11"/>
      <name val="Calibri"/>
    </font>
    <font>
      <b/>
      <sz val="16"/>
    </font>
    <font>
      <b/>
    </font>
    <font>
      <i/>
      <color rgb="FF808080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 applyAlignment="1">
      <alignment horizontal="left"/>
    </xf>
    <xf numFmtId="0" fontId="3" fillId="0" borderId="0" xfId="0" applyFont="1"/>
    <xf numFmtId="2" fontId="0" fillId="0" borderId="0" xfId="0" applyNumberFormat="1"/>
    <xf numFmtId="165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name="Natures" displayName="Natures" ref="A7:G11" totalsRowCount="1" headerRowCount="1">
  <autoFilter ref="A7:G10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</autoFilter>
  <tableColumns count="7">
    <tableColumn id="1" name="Nature" totalsRowLabel="Total"/>
    <tableColumn id="2" name="Travail (h)" totalsRowFunction="sum"/>
    <tableColumn id="3" name="Non-conformité (h)" totalsRowFunction="sum"/>
    <tableColumn id="4" name="Temps total (h)" totalsRowFunction="sum"/>
    <tableColumn id="5" name="Machine (€)" totalsRowFunction="sum"/>
    <tableColumn id="6" name="Main d’œuvre (€)" totalsRowFunction="sum"/>
    <tableColumn id="7" name="Total (€)" totalsRowFunction="sum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name="Pointages" displayName="Pointages" ref="A1:J8" totalsRowShown="1" headerRowCount="1">
  <autoFilter ref="A1:J8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  <filterColumn colId="6" hiddenButton="0"/>
    <filterColumn colId="7" hiddenButton="0"/>
    <filterColumn colId="8" hiddenButton="0"/>
    <filterColumn colId="9" hiddenButton="0"/>
  </autoFilter>
  <tableColumns count="10">
    <tableColumn id="1" name="Nature" totalsRowLabel="Total"/>
    <tableColumn id="2" name="Poste" totalsRowFunction="none"/>
    <tableColumn id="3" name="Opérateur" totalsRowFunction="none"/>
    <tableColumn id="4" name="Catégorie" totalsRowFunction="none"/>
    <tableColumn id="5" name="Début" totalsRowFunction="none"/>
    <tableColumn id="6" name="Fin" totalsRowFunction="none"/>
    <tableColumn id="7" name="Durée (h)" totalsRowFunction="none"/>
    <tableColumn id="8" name="Machine (€)" totalsRowFunction="none"/>
    <tableColumn id="9" name="Main d’œuvre (€)" totalsRowFunction="none"/>
    <tableColumn id="10" name="Total (€)" totalsRowFunction="non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Views>
    <sheetView workbookViewId="0">
      <pane ySplit="7" topLeftCell="A8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4" customWidth="1"/>
    <col min="3" max="3" width="20" customWidth="1"/>
    <col min="4" max="4" width="17" customWidth="1"/>
    <col min="5" max="5" width="14" customWidth="1"/>
    <col min="6" max="6" width="18" customWidth="1"/>
    <col min="7" max="7" width="14" customWidth="1"/>
  </cols>
  <sheetData>
    <row r="1" spans="1:1" x14ac:dyDescent="0.25">
      <c r="A1" s="1" t="s">
        <v>0</v>
      </c>
    </row>
    <row r="2" spans="1:2" x14ac:dyDescent="0.25">
      <c r="A2" s="2" t="s">
        <v>1</v>
      </c>
      <c r="B2" t="s">
        <v>2</v>
      </c>
    </row>
    <row r="3" spans="1:2" x14ac:dyDescent="0.25">
      <c r="A3" s="2" t="s">
        <v>3</v>
      </c>
      <c r="B3" t="s">
        <v>4</v>
      </c>
    </row>
    <row r="4" spans="1:2" x14ac:dyDescent="0.25">
      <c r="A4" s="2" t="s">
        <v>5</v>
      </c>
      <c r="B4" s="3">
        <v>46297.60555555555</v>
      </c>
    </row>
    <row r="5" spans="1:2" x14ac:dyDescent="0.25">
      <c r="A5" s="2" t="s">
        <v>6</v>
      </c>
      <c r="B5" s="4" t="s">
        <v>7</v>
      </c>
    </row>
    <row r="7" spans="1:7" x14ac:dyDescent="0.25">
      <c r="A7" t="s">
        <v>8</v>
      </c>
      <c r="B7" t="s">
        <v>9</v>
      </c>
      <c r="C7" t="s">
        <v>10</v>
      </c>
      <c r="D7" t="s">
        <v>11</v>
      </c>
      <c r="E7" t="s">
        <v>12</v>
      </c>
      <c r="F7" t="s">
        <v>13</v>
      </c>
      <c r="G7" t="s">
        <v>14</v>
      </c>
    </row>
    <row r="8" spans="1:7" x14ac:dyDescent="0.25">
      <c r="A8" t="s">
        <v>15</v>
      </c>
      <c r="B8" s="5">
        <v>10.5</v>
      </c>
      <c r="C8" s="5">
        <v>1.75</v>
      </c>
      <c r="D8" s="5">
        <v>12.25</v>
      </c>
      <c r="E8" s="6">
        <v>549</v>
      </c>
      <c r="F8" s="6">
        <v>367.25</v>
      </c>
      <c r="G8" s="6">
        <v>916.25</v>
      </c>
    </row>
    <row r="9" spans="1:7" x14ac:dyDescent="0.25">
      <c r="A9" t="s">
        <v>16</v>
      </c>
      <c r="B9" s="5">
        <v>4.5</v>
      </c>
      <c r="C9" s="5">
        <v>0</v>
      </c>
      <c r="D9" s="5">
        <v>4.5</v>
      </c>
      <c r="E9" s="6">
        <v>81</v>
      </c>
      <c r="F9" s="6">
        <v>135</v>
      </c>
      <c r="G9" s="6">
        <v>216</v>
      </c>
    </row>
    <row r="10" spans="1:7" x14ac:dyDescent="0.25">
      <c r="A10" t="s">
        <v>17</v>
      </c>
      <c r="B10" s="5">
        <v>1</v>
      </c>
      <c r="C10" s="5">
        <v>0</v>
      </c>
      <c r="D10" s="5">
        <v>1</v>
      </c>
      <c r="E10" s="6">
        <v>0</v>
      </c>
      <c r="F10" s="6">
        <v>32</v>
      </c>
      <c r="G10" s="6">
        <v>32</v>
      </c>
    </row>
    <row r="11" spans="1:7" x14ac:dyDescent="0.25">
      <c r="A11" t="s">
        <v>18</v>
      </c>
      <c r="B11" s="5">
        <f>SUBTOTAL(109,Natures[Travail (h)])</f>
      </c>
      <c r="C11" s="5">
        <f>SUBTOTAL(109,Natures[Non-conformité (h)])</f>
      </c>
      <c r="D11" s="5">
        <f>SUBTOTAL(109,Natures[Temps total (h)])</f>
      </c>
      <c r="E11" s="6">
        <f>SUBTOTAL(109,Natures[Machine (€)])</f>
      </c>
      <c r="F11" s="6">
        <f>SUBTOTAL(109,Natures[Main d’œuvre (€)])</f>
      </c>
      <c r="G11" s="6">
        <f>SUBTOTAL(109,Natures[Total (€)])</f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6" customWidth="1"/>
    <col min="3" max="3" width="18" customWidth="1"/>
    <col min="4" max="4" width="16" customWidth="1"/>
    <col min="5" max="6" width="18" customWidth="1"/>
    <col min="7" max="7" width="11" customWidth="1"/>
    <col min="8" max="8" width="13" customWidth="1"/>
    <col min="9" max="9" width="17" customWidth="1"/>
    <col min="10" max="10" width="13" customWidth="1"/>
  </cols>
  <sheetData>
    <row r="1" spans="1:10" x14ac:dyDescent="0.25">
      <c r="A1" t="s">
        <v>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12</v>
      </c>
      <c r="I1" t="s">
        <v>13</v>
      </c>
      <c r="J1" t="s">
        <v>14</v>
      </c>
    </row>
    <row r="2" spans="1:10" x14ac:dyDescent="0.25">
      <c r="A2" t="s">
        <v>15</v>
      </c>
      <c r="B2" t="s">
        <v>25</v>
      </c>
      <c r="C2" t="s">
        <v>26</v>
      </c>
      <c r="D2" t="s">
        <v>27</v>
      </c>
      <c r="E2" s="7">
        <v>46277.3125</v>
      </c>
      <c r="F2" s="7">
        <v>46277.47916666667</v>
      </c>
      <c r="G2" s="5">
        <v>4</v>
      </c>
      <c r="H2" s="6">
        <v>192</v>
      </c>
      <c r="I2" s="6">
        <v>113.75</v>
      </c>
      <c r="J2" s="6">
        <v>305.75</v>
      </c>
    </row>
    <row r="3" spans="1:10" x14ac:dyDescent="0.25">
      <c r="A3" t="s">
        <v>15</v>
      </c>
      <c r="B3" t="s">
        <v>28</v>
      </c>
      <c r="C3" t="s">
        <v>29</v>
      </c>
      <c r="D3" t="s">
        <v>27</v>
      </c>
      <c r="E3" s="7">
        <v>46277.54166666667</v>
      </c>
      <c r="F3" s="7">
        <v>46277.66666666667</v>
      </c>
      <c r="G3" s="5">
        <v>3</v>
      </c>
      <c r="H3" s="6">
        <v>126</v>
      </c>
      <c r="I3" s="6">
        <v>96</v>
      </c>
      <c r="J3" s="6">
        <v>222</v>
      </c>
    </row>
    <row r="4" spans="1:10" x14ac:dyDescent="0.25">
      <c r="A4" t="s">
        <v>15</v>
      </c>
      <c r="B4" t="s">
        <v>25</v>
      </c>
      <c r="C4" t="s">
        <v>26</v>
      </c>
      <c r="D4" t="s">
        <v>30</v>
      </c>
      <c r="E4" s="7">
        <v>46278.3125</v>
      </c>
      <c r="F4" s="7">
        <v>46278.38541666667</v>
      </c>
      <c r="G4" s="5">
        <v>1.75</v>
      </c>
      <c r="H4" s="6">
        <v>84</v>
      </c>
      <c r="I4" s="6">
        <v>48.13</v>
      </c>
      <c r="J4" s="6">
        <v>132.13</v>
      </c>
    </row>
    <row r="5" spans="1:10" x14ac:dyDescent="0.25">
      <c r="A5" t="s">
        <v>15</v>
      </c>
      <c r="B5" t="s">
        <v>28</v>
      </c>
      <c r="C5" t="s">
        <v>26</v>
      </c>
      <c r="D5" t="s">
        <v>27</v>
      </c>
      <c r="E5" s="7">
        <v>46278.35416666667</v>
      </c>
      <c r="F5" s="7">
        <v>46278.5</v>
      </c>
      <c r="G5" s="5">
        <v>3.5</v>
      </c>
      <c r="H5" s="6">
        <v>147</v>
      </c>
      <c r="I5" s="6">
        <v>109.37</v>
      </c>
      <c r="J5" s="6">
        <v>256.37</v>
      </c>
    </row>
    <row r="6" spans="1:10" x14ac:dyDescent="0.25">
      <c r="A6" t="s">
        <v>16</v>
      </c>
      <c r="B6" t="s">
        <v>31</v>
      </c>
      <c r="C6" t="s">
        <v>32</v>
      </c>
      <c r="D6" t="s">
        <v>27</v>
      </c>
      <c r="E6" s="7">
        <v>46280.33333333333</v>
      </c>
      <c r="F6" s="7">
        <v>46280.45833333333</v>
      </c>
      <c r="G6" s="5">
        <v>3</v>
      </c>
      <c r="H6" s="6">
        <v>54</v>
      </c>
      <c r="I6" s="6">
        <v>90</v>
      </c>
      <c r="J6" s="6">
        <v>144</v>
      </c>
    </row>
    <row r="7" spans="1:10" x14ac:dyDescent="0.25">
      <c r="A7" t="s">
        <v>16</v>
      </c>
      <c r="B7" t="s">
        <v>31</v>
      </c>
      <c r="C7" t="s">
        <v>32</v>
      </c>
      <c r="D7" t="s">
        <v>27</v>
      </c>
      <c r="E7" s="7">
        <v>46280.54166666667</v>
      </c>
      <c r="F7" s="7">
        <v>46280.60416666667</v>
      </c>
      <c r="G7" s="5">
        <v>1.5</v>
      </c>
      <c r="H7" s="6">
        <v>27</v>
      </c>
      <c r="I7" s="6">
        <v>45</v>
      </c>
      <c r="J7" s="6">
        <v>72</v>
      </c>
    </row>
    <row r="8" spans="1:10" x14ac:dyDescent="0.25">
      <c r="A8" t="s">
        <v>17</v>
      </c>
      <c r="B8" t="s">
        <v>17</v>
      </c>
      <c r="C8" t="s">
        <v>29</v>
      </c>
      <c r="D8" t="s">
        <v>27</v>
      </c>
      <c r="E8" s="7">
        <v>46281.375</v>
      </c>
      <c r="F8" s="7">
        <v>46281.41666666667</v>
      </c>
      <c r="G8" s="5">
        <v>1</v>
      </c>
      <c r="H8" s="6">
        <v>0</v>
      </c>
      <c r="I8" s="6">
        <v>32</v>
      </c>
      <c r="J8" s="6">
        <v>32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Synthèse</vt:lpstr>
      <vt:lpstr>Pointages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GLM</dc:creator>
  <dc:title/>
  <dc:subject/>
  <dc:description/>
  <cp:keywords/>
  <cp:category/>
  <cp:lastModifiedBy>Unknown</cp:lastModifiedBy>
  <dcterms:created xsi:type="dcterms:W3CDTF">2026-10-02T12:32:00Z</dcterms:created>
  <dcterms:modified xsi:type="dcterms:W3CDTF">2026-10-02T14:22:08Z</dcterms:modified>
</cp:coreProperties>
</file>